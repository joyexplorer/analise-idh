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916B00AC-F493-4697-91C3-F1F70B8FBA3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aís - Desenvolvimento" sheetId="1" r:id="rId1"/>
    <sheet name="País - Continente" sheetId="2" r:id="rId2"/>
    <sheet name="Respos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2" i="3"/>
  <c r="H14" i="3"/>
  <c r="I14" i="3" s="1"/>
  <c r="H13" i="3"/>
  <c r="I13" i="3" s="1"/>
  <c r="H12" i="3"/>
  <c r="I12" i="3" s="1"/>
  <c r="H11" i="3"/>
  <c r="I11" i="3" s="1"/>
  <c r="H15" i="3"/>
  <c r="I15" i="3" s="1"/>
  <c r="H8" i="3"/>
  <c r="H2" i="3"/>
  <c r="H4" i="3"/>
  <c r="H6" i="3"/>
  <c r="H5" i="3"/>
  <c r="H3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2" i="3"/>
</calcChain>
</file>

<file path=xl/sharedStrings.xml><?xml version="1.0" encoding="utf-8"?>
<sst xmlns="http://schemas.openxmlformats.org/spreadsheetml/2006/main" count="796" uniqueCount="208">
  <si>
    <t>País</t>
  </si>
  <si>
    <t>IDH</t>
  </si>
  <si>
    <t>Anos de escolaridade (médio)</t>
  </si>
  <si>
    <t>PIB per Capita ($)</t>
  </si>
  <si>
    <t>Afeganistão</t>
  </si>
  <si>
    <t>Albânia</t>
  </si>
  <si>
    <t>Argélia</t>
  </si>
  <si>
    <t>Andorra</t>
  </si>
  <si>
    <t>Angola</t>
  </si>
  <si>
    <t>Antígua e Barbuda</t>
  </si>
  <si>
    <t>Argentina</t>
  </si>
  <si>
    <t>Armênia</t>
  </si>
  <si>
    <t>Austrália</t>
  </si>
  <si>
    <t>Áustria</t>
  </si>
  <si>
    <t>Azerbaijão</t>
  </si>
  <si>
    <t>Bahamas</t>
  </si>
  <si>
    <t>Bahrein</t>
  </si>
  <si>
    <t>Bangladesh</t>
  </si>
  <si>
    <t>Barbados</t>
  </si>
  <si>
    <t>Bielorrússia</t>
  </si>
  <si>
    <t>Bélgica</t>
  </si>
  <si>
    <t>Belize</t>
  </si>
  <si>
    <t>Benin</t>
  </si>
  <si>
    <t>Butão</t>
  </si>
  <si>
    <t>Bolívia</t>
  </si>
  <si>
    <t>Bósnia e Herzegovina</t>
  </si>
  <si>
    <t>Botswana</t>
  </si>
  <si>
    <t>Brasil</t>
  </si>
  <si>
    <t>Brunei</t>
  </si>
  <si>
    <t>Bulgária</t>
  </si>
  <si>
    <t>Burquina Faso</t>
  </si>
  <si>
    <t>Burundi</t>
  </si>
  <si>
    <t>Cabo Verde</t>
  </si>
  <si>
    <t>Camarões</t>
  </si>
  <si>
    <t>Canadá</t>
  </si>
  <si>
    <t>República Centro-Africana</t>
  </si>
  <si>
    <t>Chade</t>
  </si>
  <si>
    <t>Chile</t>
  </si>
  <si>
    <t>China</t>
  </si>
  <si>
    <t>Colômbia</t>
  </si>
  <si>
    <t>Comores</t>
  </si>
  <si>
    <t>Congo (República do)</t>
  </si>
  <si>
    <t>Congo (RD)</t>
  </si>
  <si>
    <t>Costa Rica</t>
  </si>
  <si>
    <t>Costa do Marfim</t>
  </si>
  <si>
    <t>Croácia</t>
  </si>
  <si>
    <t>Cuba</t>
  </si>
  <si>
    <t>Chipre</t>
  </si>
  <si>
    <t>República Checa</t>
  </si>
  <si>
    <t>Dinamarca</t>
  </si>
  <si>
    <t>Djibuti</t>
  </si>
  <si>
    <t>Dominica</t>
  </si>
  <si>
    <t>República Dominicana</t>
  </si>
  <si>
    <t>Equador</t>
  </si>
  <si>
    <t>Egito</t>
  </si>
  <si>
    <t>El Salvador</t>
  </si>
  <si>
    <t>Guiné Equatorial</t>
  </si>
  <si>
    <t>Eritreia</t>
  </si>
  <si>
    <t>Estônia</t>
  </si>
  <si>
    <t>Eswatíni</t>
  </si>
  <si>
    <t>Etiópia</t>
  </si>
  <si>
    <t>Fiji</t>
  </si>
  <si>
    <t>Finlândia</t>
  </si>
  <si>
    <t>França</t>
  </si>
  <si>
    <t>Gabão</t>
  </si>
  <si>
    <t>Gâmbia</t>
  </si>
  <si>
    <t>Geórgia</t>
  </si>
  <si>
    <t>Alemanha</t>
  </si>
  <si>
    <t>Gana</t>
  </si>
  <si>
    <t>Grécia</t>
  </si>
  <si>
    <t>Granada</t>
  </si>
  <si>
    <t>Guatemala</t>
  </si>
  <si>
    <t>Guiné</t>
  </si>
  <si>
    <t>Guiné-Bissau</t>
  </si>
  <si>
    <t>Guiana</t>
  </si>
  <si>
    <t>Haiti</t>
  </si>
  <si>
    <t>Honduras</t>
  </si>
  <si>
    <t>Hungria</t>
  </si>
  <si>
    <t>Islândia</t>
  </si>
  <si>
    <t>Índia</t>
  </si>
  <si>
    <t>Indonésia</t>
  </si>
  <si>
    <t>Irã</t>
  </si>
  <si>
    <t>Iraque</t>
  </si>
  <si>
    <t>Irlanda</t>
  </si>
  <si>
    <t>Israel</t>
  </si>
  <si>
    <t>Itália</t>
  </si>
  <si>
    <t>Jamaica</t>
  </si>
  <si>
    <t>Japão</t>
  </si>
  <si>
    <t>Jordânia</t>
  </si>
  <si>
    <t>Cazaquistão</t>
  </si>
  <si>
    <t>Quênia</t>
  </si>
  <si>
    <t>Kiribati</t>
  </si>
  <si>
    <t>Coreia do Norte</t>
  </si>
  <si>
    <t>Coreia do Sul</t>
  </si>
  <si>
    <t>Kuwait</t>
  </si>
  <si>
    <t>Quirguistão</t>
  </si>
  <si>
    <t>Laos</t>
  </si>
  <si>
    <t>Letônia</t>
  </si>
  <si>
    <t>Líbano</t>
  </si>
  <si>
    <t>Lesoto</t>
  </si>
  <si>
    <t>Libéria</t>
  </si>
  <si>
    <t>Líbia</t>
  </si>
  <si>
    <t>Liechtenstein</t>
  </si>
  <si>
    <t>Lituânia</t>
  </si>
  <si>
    <t>Luxemburgo</t>
  </si>
  <si>
    <t>Madagascar</t>
  </si>
  <si>
    <t>Malawi</t>
  </si>
  <si>
    <t>Malásia</t>
  </si>
  <si>
    <t>Maldivas</t>
  </si>
  <si>
    <t>Mali</t>
  </si>
  <si>
    <t>Malta</t>
  </si>
  <si>
    <t>Ilhas Marshall</t>
  </si>
  <si>
    <t>Mauritânia</t>
  </si>
  <si>
    <t>Maurício</t>
  </si>
  <si>
    <t>México</t>
  </si>
  <si>
    <t>Estados Federados da Micronésia</t>
  </si>
  <si>
    <t>Moldávia</t>
  </si>
  <si>
    <t>Mônaco</t>
  </si>
  <si>
    <t>Mongólia</t>
  </si>
  <si>
    <t>Montenegro</t>
  </si>
  <si>
    <t>Marrocos</t>
  </si>
  <si>
    <t>Moçambique</t>
  </si>
  <si>
    <t>Myanmar</t>
  </si>
  <si>
    <t>Namíbia</t>
  </si>
  <si>
    <t>Nauru</t>
  </si>
  <si>
    <t>Nepal</t>
  </si>
  <si>
    <t>Países Baixos</t>
  </si>
  <si>
    <t>Nova Zelândia</t>
  </si>
  <si>
    <t>Nicarágua</t>
  </si>
  <si>
    <t>Níger</t>
  </si>
  <si>
    <t>Nigéria</t>
  </si>
  <si>
    <t>Noruega</t>
  </si>
  <si>
    <t>Omã</t>
  </si>
  <si>
    <t>Paquistão</t>
  </si>
  <si>
    <t>Palau</t>
  </si>
  <si>
    <t>Panamá</t>
  </si>
  <si>
    <t>Papua-Nova Guiné</t>
  </si>
  <si>
    <t>Paraguai</t>
  </si>
  <si>
    <t>Peru</t>
  </si>
  <si>
    <t>Filipinas</t>
  </si>
  <si>
    <t>Polônia</t>
  </si>
  <si>
    <t>Portugal</t>
  </si>
  <si>
    <t>Catar</t>
  </si>
  <si>
    <t>Romênia</t>
  </si>
  <si>
    <t>Rússia</t>
  </si>
  <si>
    <t>Ruanda</t>
  </si>
  <si>
    <t>São Cristóvão e Nevis</t>
  </si>
  <si>
    <t>Santa Lúcia</t>
  </si>
  <si>
    <t>São Vicente e Granadinas</t>
  </si>
  <si>
    <t>Samoa</t>
  </si>
  <si>
    <t>San Marino</t>
  </si>
  <si>
    <t>São Tomé e Príncipe</t>
  </si>
  <si>
    <t>Arábia Saudita</t>
  </si>
  <si>
    <t>Senegal</t>
  </si>
  <si>
    <t>Sérvia</t>
  </si>
  <si>
    <t>Seychelles</t>
  </si>
  <si>
    <t>Serra Leoa</t>
  </si>
  <si>
    <t>Singapura</t>
  </si>
  <si>
    <t>Eslováquia</t>
  </si>
  <si>
    <t>Eslovênia</t>
  </si>
  <si>
    <t>Ilhas Salomão</t>
  </si>
  <si>
    <t>Somália</t>
  </si>
  <si>
    <t>África do Sul</t>
  </si>
  <si>
    <t>Sudão do Sul</t>
  </si>
  <si>
    <t>Espanha</t>
  </si>
  <si>
    <t>Sri Lanka</t>
  </si>
  <si>
    <t>Sudão</t>
  </si>
  <si>
    <t>Suriname</t>
  </si>
  <si>
    <t>Suécia</t>
  </si>
  <si>
    <t>Suíça</t>
  </si>
  <si>
    <t>Síria</t>
  </si>
  <si>
    <t>Taiwan</t>
  </si>
  <si>
    <t>Tajiquistão</t>
  </si>
  <si>
    <t>Tanzânia</t>
  </si>
  <si>
    <t>Tailândia</t>
  </si>
  <si>
    <t>Togo</t>
  </si>
  <si>
    <t>Tonga</t>
  </si>
  <si>
    <t>Trinidad e Tobago</t>
  </si>
  <si>
    <t>Tunísia</t>
  </si>
  <si>
    <t>Turquia</t>
  </si>
  <si>
    <t>Turcomenistão</t>
  </si>
  <si>
    <t>Tuvalu</t>
  </si>
  <si>
    <t>Uganda</t>
  </si>
  <si>
    <t>Ucrânia</t>
  </si>
  <si>
    <t>Emirados Árabes Unidos</t>
  </si>
  <si>
    <t>Reino Unido</t>
  </si>
  <si>
    <t>Estados Unidos</t>
  </si>
  <si>
    <t>Uruguai</t>
  </si>
  <si>
    <t>Uzbequistão</t>
  </si>
  <si>
    <t>Vanuatu</t>
  </si>
  <si>
    <t>Cidade do Vaticano</t>
  </si>
  <si>
    <t>Venezuela</t>
  </si>
  <si>
    <t>Vietnã</t>
  </si>
  <si>
    <t>Iêmen</t>
  </si>
  <si>
    <t>Zâmbia</t>
  </si>
  <si>
    <t>Zimbábue</t>
  </si>
  <si>
    <t>Continente</t>
  </si>
  <si>
    <t>Ásia</t>
  </si>
  <si>
    <t>Europa</t>
  </si>
  <si>
    <t>África</t>
  </si>
  <si>
    <t>América</t>
  </si>
  <si>
    <t>Oceania</t>
  </si>
  <si>
    <t>Micronésia</t>
  </si>
  <si>
    <t>IDH Médio</t>
  </si>
  <si>
    <t>Total de Países</t>
  </si>
  <si>
    <t>Média IDH Global</t>
  </si>
  <si>
    <t>Países com IDH &gt; Média</t>
  </si>
  <si>
    <t>% Acima da 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</si>
</sst>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3" fontId="0" fillId="0" borderId="1" xfId="0" applyNumberFormat="1" applyBorder="1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NumberFormat="1" applyBorder="1"/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IDH vs Anos de escolaridade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Resposta!D2:D193</c:f>
              <c:numCache>
                <c:formatCode>General</c:formatCode>
                <c:ptCount val="192"/>
                <c:pt idx="0">
                  <c:v>13</c:v>
                </c:pt>
                <c:pt idx="1">
                  <c:v>12.8</c:v>
                </c:pt>
                <c:pt idx="2">
                  <c:v>11.9</c:v>
                </c:pt>
                <c:pt idx="3">
                  <c:v>13.6</c:v>
                </c:pt>
                <c:pt idx="4">
                  <c:v>13</c:v>
                </c:pt>
                <c:pt idx="5">
                  <c:v>13.1</c:v>
                </c:pt>
                <c:pt idx="6">
                  <c:v>13.9</c:v>
                </c:pt>
                <c:pt idx="7">
                  <c:v>13.6</c:v>
                </c:pt>
                <c:pt idx="8">
                  <c:v>11</c:v>
                </c:pt>
                <c:pt idx="9">
                  <c:v>13</c:v>
                </c:pt>
                <c:pt idx="10">
                  <c:v>13</c:v>
                </c:pt>
                <c:pt idx="11">
                  <c:v>13.6</c:v>
                </c:pt>
                <c:pt idx="12">
                  <c:v>13.8</c:v>
                </c:pt>
                <c:pt idx="13">
                  <c:v>13</c:v>
                </c:pt>
                <c:pt idx="14">
                  <c:v>12.6</c:v>
                </c:pt>
                <c:pt idx="15">
                  <c:v>12.8</c:v>
                </c:pt>
                <c:pt idx="16">
                  <c:v>13.9</c:v>
                </c:pt>
                <c:pt idx="17">
                  <c:v>13.2</c:v>
                </c:pt>
                <c:pt idx="18">
                  <c:v>13.4</c:v>
                </c:pt>
                <c:pt idx="19">
                  <c:v>12.9</c:v>
                </c:pt>
                <c:pt idx="20">
                  <c:v>12.5</c:v>
                </c:pt>
                <c:pt idx="21">
                  <c:v>12.7</c:v>
                </c:pt>
                <c:pt idx="22">
                  <c:v>12.8</c:v>
                </c:pt>
                <c:pt idx="23">
                  <c:v>13.5</c:v>
                </c:pt>
                <c:pt idx="24">
                  <c:v>12.9</c:v>
                </c:pt>
                <c:pt idx="25">
                  <c:v>13.1</c:v>
                </c:pt>
                <c:pt idx="26">
                  <c:v>12.6</c:v>
                </c:pt>
                <c:pt idx="27">
                  <c:v>12.7</c:v>
                </c:pt>
                <c:pt idx="28">
                  <c:v>12.6</c:v>
                </c:pt>
                <c:pt idx="29">
                  <c:v>12.5</c:v>
                </c:pt>
                <c:pt idx="30">
                  <c:v>12.8</c:v>
                </c:pt>
                <c:pt idx="31">
                  <c:v>11.5</c:v>
                </c:pt>
                <c:pt idx="32">
                  <c:v>11</c:v>
                </c:pt>
                <c:pt idx="33">
                  <c:v>11.5</c:v>
                </c:pt>
                <c:pt idx="34">
                  <c:v>12.5</c:v>
                </c:pt>
                <c:pt idx="35">
                  <c:v>12.5</c:v>
                </c:pt>
                <c:pt idx="36">
                  <c:v>12.9</c:v>
                </c:pt>
                <c:pt idx="37">
                  <c:v>11.8</c:v>
                </c:pt>
                <c:pt idx="38">
                  <c:v>12.5</c:v>
                </c:pt>
                <c:pt idx="39">
                  <c:v>12.6</c:v>
                </c:pt>
                <c:pt idx="40">
                  <c:v>13</c:v>
                </c:pt>
                <c:pt idx="41">
                  <c:v>11.2</c:v>
                </c:pt>
                <c:pt idx="42">
                  <c:v>12.7</c:v>
                </c:pt>
                <c:pt idx="43">
                  <c:v>12</c:v>
                </c:pt>
                <c:pt idx="44">
                  <c:v>12.6</c:v>
                </c:pt>
                <c:pt idx="45">
                  <c:v>10.5</c:v>
                </c:pt>
                <c:pt idx="46">
                  <c:v>8.5</c:v>
                </c:pt>
                <c:pt idx="47">
                  <c:v>12</c:v>
                </c:pt>
                <c:pt idx="48">
                  <c:v>12.4</c:v>
                </c:pt>
                <c:pt idx="49">
                  <c:v>12.4</c:v>
                </c:pt>
                <c:pt idx="50">
                  <c:v>11</c:v>
                </c:pt>
                <c:pt idx="51">
                  <c:v>11.5</c:v>
                </c:pt>
                <c:pt idx="52">
                  <c:v>11.5</c:v>
                </c:pt>
                <c:pt idx="53">
                  <c:v>12</c:v>
                </c:pt>
                <c:pt idx="54">
                  <c:v>10.5</c:v>
                </c:pt>
                <c:pt idx="55">
                  <c:v>11.5</c:v>
                </c:pt>
                <c:pt idx="56">
                  <c:v>11.8</c:v>
                </c:pt>
                <c:pt idx="57">
                  <c:v>12.5</c:v>
                </c:pt>
                <c:pt idx="58">
                  <c:v>10.5</c:v>
                </c:pt>
                <c:pt idx="59">
                  <c:v>11.5</c:v>
                </c:pt>
                <c:pt idx="60">
                  <c:v>9.5</c:v>
                </c:pt>
                <c:pt idx="61">
                  <c:v>11.5</c:v>
                </c:pt>
                <c:pt idx="62">
                  <c:v>10</c:v>
                </c:pt>
                <c:pt idx="63">
                  <c:v>11.5</c:v>
                </c:pt>
                <c:pt idx="64">
                  <c:v>10.5</c:v>
                </c:pt>
                <c:pt idx="65">
                  <c:v>11.8</c:v>
                </c:pt>
                <c:pt idx="66">
                  <c:v>12.5</c:v>
                </c:pt>
                <c:pt idx="67">
                  <c:v>8.4</c:v>
                </c:pt>
                <c:pt idx="68">
                  <c:v>9</c:v>
                </c:pt>
                <c:pt idx="69">
                  <c:v>10.5</c:v>
                </c:pt>
                <c:pt idx="70">
                  <c:v>9</c:v>
                </c:pt>
                <c:pt idx="71">
                  <c:v>8.5</c:v>
                </c:pt>
                <c:pt idx="72">
                  <c:v>12</c:v>
                </c:pt>
                <c:pt idx="73">
                  <c:v>11</c:v>
                </c:pt>
                <c:pt idx="74">
                  <c:v>11</c:v>
                </c:pt>
                <c:pt idx="75">
                  <c:v>9</c:v>
                </c:pt>
                <c:pt idx="76">
                  <c:v>10.5</c:v>
                </c:pt>
                <c:pt idx="77">
                  <c:v>11.5</c:v>
                </c:pt>
                <c:pt idx="78">
                  <c:v>11.5</c:v>
                </c:pt>
                <c:pt idx="79">
                  <c:v>9.5</c:v>
                </c:pt>
                <c:pt idx="80">
                  <c:v>7</c:v>
                </c:pt>
                <c:pt idx="81">
                  <c:v>10</c:v>
                </c:pt>
                <c:pt idx="82">
                  <c:v>9.5</c:v>
                </c:pt>
                <c:pt idx="83">
                  <c:v>12.5</c:v>
                </c:pt>
                <c:pt idx="84">
                  <c:v>9</c:v>
                </c:pt>
                <c:pt idx="85">
                  <c:v>9.5</c:v>
                </c:pt>
                <c:pt idx="86">
                  <c:v>10</c:v>
                </c:pt>
                <c:pt idx="87">
                  <c:v>8.5</c:v>
                </c:pt>
                <c:pt idx="88">
                  <c:v>10.5</c:v>
                </c:pt>
                <c:pt idx="89">
                  <c:v>11</c:v>
                </c:pt>
                <c:pt idx="90">
                  <c:v>10</c:v>
                </c:pt>
                <c:pt idx="91">
                  <c:v>11</c:v>
                </c:pt>
                <c:pt idx="92">
                  <c:v>9.5</c:v>
                </c:pt>
                <c:pt idx="93">
                  <c:v>9.5</c:v>
                </c:pt>
                <c:pt idx="94">
                  <c:v>9</c:v>
                </c:pt>
                <c:pt idx="95">
                  <c:v>9.5</c:v>
                </c:pt>
                <c:pt idx="96">
                  <c:v>9</c:v>
                </c:pt>
                <c:pt idx="97">
                  <c:v>12</c:v>
                </c:pt>
                <c:pt idx="98">
                  <c:v>9.5</c:v>
                </c:pt>
                <c:pt idx="99">
                  <c:v>8</c:v>
                </c:pt>
                <c:pt idx="100">
                  <c:v>9.5</c:v>
                </c:pt>
                <c:pt idx="101">
                  <c:v>10</c:v>
                </c:pt>
                <c:pt idx="102">
                  <c:v>9</c:v>
                </c:pt>
                <c:pt idx="103">
                  <c:v>9</c:v>
                </c:pt>
                <c:pt idx="104">
                  <c:v>11</c:v>
                </c:pt>
                <c:pt idx="105">
                  <c:v>8</c:v>
                </c:pt>
                <c:pt idx="106">
                  <c:v>7.5</c:v>
                </c:pt>
                <c:pt idx="107">
                  <c:v>9</c:v>
                </c:pt>
                <c:pt idx="108">
                  <c:v>9</c:v>
                </c:pt>
                <c:pt idx="109">
                  <c:v>10.5</c:v>
                </c:pt>
                <c:pt idx="110">
                  <c:v>11</c:v>
                </c:pt>
                <c:pt idx="111">
                  <c:v>8.5</c:v>
                </c:pt>
                <c:pt idx="112">
                  <c:v>11</c:v>
                </c:pt>
                <c:pt idx="113">
                  <c:v>8</c:v>
                </c:pt>
                <c:pt idx="114">
                  <c:v>10</c:v>
                </c:pt>
                <c:pt idx="115">
                  <c:v>10</c:v>
                </c:pt>
                <c:pt idx="116">
                  <c:v>9.5</c:v>
                </c:pt>
                <c:pt idx="117">
                  <c:v>8.5</c:v>
                </c:pt>
                <c:pt idx="118">
                  <c:v>10.5</c:v>
                </c:pt>
                <c:pt idx="119">
                  <c:v>8.5</c:v>
                </c:pt>
                <c:pt idx="120">
                  <c:v>9.5</c:v>
                </c:pt>
                <c:pt idx="121">
                  <c:v>10</c:v>
                </c:pt>
                <c:pt idx="122">
                  <c:v>9</c:v>
                </c:pt>
                <c:pt idx="123">
                  <c:v>8.5</c:v>
                </c:pt>
                <c:pt idx="124">
                  <c:v>8.5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6</c:v>
                </c:pt>
                <c:pt idx="130">
                  <c:v>8</c:v>
                </c:pt>
                <c:pt idx="131">
                  <c:v>7</c:v>
                </c:pt>
                <c:pt idx="132">
                  <c:v>10.5</c:v>
                </c:pt>
                <c:pt idx="133">
                  <c:v>6</c:v>
                </c:pt>
                <c:pt idx="134">
                  <c:v>7.5</c:v>
                </c:pt>
                <c:pt idx="135">
                  <c:v>6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7.5</c:v>
                </c:pt>
                <c:pt idx="140">
                  <c:v>6.5</c:v>
                </c:pt>
                <c:pt idx="141">
                  <c:v>7.5</c:v>
                </c:pt>
                <c:pt idx="142">
                  <c:v>6</c:v>
                </c:pt>
                <c:pt idx="143">
                  <c:v>7</c:v>
                </c:pt>
                <c:pt idx="144">
                  <c:v>6</c:v>
                </c:pt>
                <c:pt idx="145">
                  <c:v>7</c:v>
                </c:pt>
                <c:pt idx="146">
                  <c:v>7</c:v>
                </c:pt>
                <c:pt idx="147">
                  <c:v>6.5</c:v>
                </c:pt>
                <c:pt idx="148">
                  <c:v>9.5</c:v>
                </c:pt>
                <c:pt idx="149">
                  <c:v>6</c:v>
                </c:pt>
                <c:pt idx="150">
                  <c:v>10</c:v>
                </c:pt>
                <c:pt idx="151">
                  <c:v>8</c:v>
                </c:pt>
                <c:pt idx="152">
                  <c:v>7</c:v>
                </c:pt>
                <c:pt idx="153">
                  <c:v>5.5</c:v>
                </c:pt>
                <c:pt idx="154">
                  <c:v>6.5</c:v>
                </c:pt>
                <c:pt idx="155">
                  <c:v>6</c:v>
                </c:pt>
                <c:pt idx="156">
                  <c:v>6</c:v>
                </c:pt>
                <c:pt idx="157">
                  <c:v>5.5</c:v>
                </c:pt>
                <c:pt idx="158">
                  <c:v>5.5</c:v>
                </c:pt>
                <c:pt idx="159">
                  <c:v>5</c:v>
                </c:pt>
                <c:pt idx="160">
                  <c:v>4.5</c:v>
                </c:pt>
                <c:pt idx="161">
                  <c:v>5</c:v>
                </c:pt>
                <c:pt idx="162">
                  <c:v>9</c:v>
                </c:pt>
                <c:pt idx="163">
                  <c:v>5.5</c:v>
                </c:pt>
                <c:pt idx="164">
                  <c:v>6</c:v>
                </c:pt>
                <c:pt idx="165">
                  <c:v>8</c:v>
                </c:pt>
                <c:pt idx="166">
                  <c:v>6</c:v>
                </c:pt>
                <c:pt idx="167">
                  <c:v>4.5</c:v>
                </c:pt>
                <c:pt idx="168">
                  <c:v>3.5</c:v>
                </c:pt>
                <c:pt idx="169">
                  <c:v>3.5</c:v>
                </c:pt>
                <c:pt idx="170">
                  <c:v>5.5</c:v>
                </c:pt>
                <c:pt idx="171">
                  <c:v>3.5</c:v>
                </c:pt>
                <c:pt idx="172">
                  <c:v>4.5</c:v>
                </c:pt>
                <c:pt idx="173">
                  <c:v>4.5</c:v>
                </c:pt>
                <c:pt idx="174">
                  <c:v>3.5</c:v>
                </c:pt>
                <c:pt idx="175">
                  <c:v>3</c:v>
                </c:pt>
                <c:pt idx="176">
                  <c:v>4</c:v>
                </c:pt>
                <c:pt idx="177">
                  <c:v>3</c:v>
                </c:pt>
                <c:pt idx="178">
                  <c:v>4</c:v>
                </c:pt>
                <c:pt idx="179">
                  <c:v>4.5</c:v>
                </c:pt>
                <c:pt idx="180">
                  <c:v>5</c:v>
                </c:pt>
                <c:pt idx="181">
                  <c:v>4</c:v>
                </c:pt>
                <c:pt idx="182">
                  <c:v>4</c:v>
                </c:pt>
                <c:pt idx="183">
                  <c:v>4.5</c:v>
                </c:pt>
                <c:pt idx="184">
                  <c:v>3.5</c:v>
                </c:pt>
                <c:pt idx="185">
                  <c:v>2.5</c:v>
                </c:pt>
                <c:pt idx="186">
                  <c:v>4</c:v>
                </c:pt>
                <c:pt idx="187">
                  <c:v>2.5</c:v>
                </c:pt>
                <c:pt idx="188">
                  <c:v>2.5</c:v>
                </c:pt>
                <c:pt idx="189">
                  <c:v>2</c:v>
                </c:pt>
                <c:pt idx="190">
                  <c:v>3</c:v>
                </c:pt>
                <c:pt idx="191">
                  <c:v>12</c:v>
                </c:pt>
              </c:numCache>
            </c:numRef>
          </c:xVal>
          <c:yVal>
            <c:numRef>
              <c:f>Resposta!C2:C193</c:f>
              <c:numCache>
                <c:formatCode>General</c:formatCode>
                <c:ptCount val="192"/>
                <c:pt idx="0">
                  <c:v>0.95699999999999996</c:v>
                </c:pt>
                <c:pt idx="1">
                  <c:v>0.91700000000000004</c:v>
                </c:pt>
                <c:pt idx="2">
                  <c:v>0.93799999999999994</c:v>
                </c:pt>
                <c:pt idx="3">
                  <c:v>0.95499999999999996</c:v>
                </c:pt>
                <c:pt idx="4">
                  <c:v>0.91600000000000004</c:v>
                </c:pt>
                <c:pt idx="5">
                  <c:v>0.96099999999999997</c:v>
                </c:pt>
                <c:pt idx="6">
                  <c:v>0.96199999999999997</c:v>
                </c:pt>
                <c:pt idx="7">
                  <c:v>0.92600000000000005</c:v>
                </c:pt>
                <c:pt idx="8">
                  <c:v>0.84799999999999998</c:v>
                </c:pt>
                <c:pt idx="9">
                  <c:v>0.94</c:v>
                </c:pt>
                <c:pt idx="10">
                  <c:v>0.94499999999999995</c:v>
                </c:pt>
                <c:pt idx="11">
                  <c:v>0.94899999999999995</c:v>
                </c:pt>
                <c:pt idx="12">
                  <c:v>0.94899999999999995</c:v>
                </c:pt>
                <c:pt idx="13">
                  <c:v>0.92200000000000004</c:v>
                </c:pt>
                <c:pt idx="14">
                  <c:v>0.94399999999999995</c:v>
                </c:pt>
                <c:pt idx="15">
                  <c:v>0.93100000000000005</c:v>
                </c:pt>
                <c:pt idx="16">
                  <c:v>0.93799999999999994</c:v>
                </c:pt>
                <c:pt idx="17">
                  <c:v>0.92900000000000005</c:v>
                </c:pt>
                <c:pt idx="18">
                  <c:v>0.94199999999999995</c:v>
                </c:pt>
                <c:pt idx="19">
                  <c:v>0.92200000000000004</c:v>
                </c:pt>
                <c:pt idx="20">
                  <c:v>0.89200000000000002</c:v>
                </c:pt>
                <c:pt idx="21">
                  <c:v>0.91900000000000004</c:v>
                </c:pt>
                <c:pt idx="22">
                  <c:v>0.89</c:v>
                </c:pt>
                <c:pt idx="23">
                  <c:v>0.85799999999999998</c:v>
                </c:pt>
                <c:pt idx="24">
                  <c:v>0.90100000000000002</c:v>
                </c:pt>
                <c:pt idx="25">
                  <c:v>0.92100000000000004</c:v>
                </c:pt>
                <c:pt idx="26">
                  <c:v>0.92500000000000004</c:v>
                </c:pt>
                <c:pt idx="27">
                  <c:v>0.89200000000000002</c:v>
                </c:pt>
                <c:pt idx="28">
                  <c:v>0.91600000000000004</c:v>
                </c:pt>
                <c:pt idx="29">
                  <c:v>0.90700000000000003</c:v>
                </c:pt>
                <c:pt idx="30">
                  <c:v>0.90400000000000003</c:v>
                </c:pt>
                <c:pt idx="31">
                  <c:v>0.84499999999999997</c:v>
                </c:pt>
                <c:pt idx="32">
                  <c:v>0.80600000000000005</c:v>
                </c:pt>
                <c:pt idx="33">
                  <c:v>0.81399999999999995</c:v>
                </c:pt>
                <c:pt idx="34">
                  <c:v>0.88700000000000001</c:v>
                </c:pt>
                <c:pt idx="35">
                  <c:v>0.88800000000000001</c:v>
                </c:pt>
                <c:pt idx="36">
                  <c:v>0.91800000000000004</c:v>
                </c:pt>
                <c:pt idx="37">
                  <c:v>0.85199999999999998</c:v>
                </c:pt>
                <c:pt idx="38">
                  <c:v>0.88200000000000001</c:v>
                </c:pt>
                <c:pt idx="39">
                  <c:v>0.86399999999999999</c:v>
                </c:pt>
                <c:pt idx="40">
                  <c:v>0.9</c:v>
                </c:pt>
                <c:pt idx="41">
                  <c:v>0.85399999999999998</c:v>
                </c:pt>
                <c:pt idx="42">
                  <c:v>0.88800000000000001</c:v>
                </c:pt>
                <c:pt idx="43">
                  <c:v>0.85499999999999998</c:v>
                </c:pt>
                <c:pt idx="44">
                  <c:v>0.88500000000000001</c:v>
                </c:pt>
                <c:pt idx="45">
                  <c:v>0.82099999999999995</c:v>
                </c:pt>
                <c:pt idx="46">
                  <c:v>0.70199999999999996</c:v>
                </c:pt>
                <c:pt idx="47">
                  <c:v>0.79</c:v>
                </c:pt>
                <c:pt idx="48">
                  <c:v>0.88</c:v>
                </c:pt>
                <c:pt idx="49">
                  <c:v>0.85399999999999998</c:v>
                </c:pt>
                <c:pt idx="50">
                  <c:v>0.79700000000000004</c:v>
                </c:pt>
                <c:pt idx="51">
                  <c:v>0.81699999999999995</c:v>
                </c:pt>
                <c:pt idx="52">
                  <c:v>0.77800000000000002</c:v>
                </c:pt>
                <c:pt idx="53">
                  <c:v>0.86599999999999999</c:v>
                </c:pt>
                <c:pt idx="54">
                  <c:v>0.81699999999999995</c:v>
                </c:pt>
                <c:pt idx="55">
                  <c:v>0.80100000000000005</c:v>
                </c:pt>
                <c:pt idx="56">
                  <c:v>0.85099999999999998</c:v>
                </c:pt>
                <c:pt idx="57">
                  <c:v>0.85099999999999998</c:v>
                </c:pt>
                <c:pt idx="58">
                  <c:v>0.80100000000000005</c:v>
                </c:pt>
                <c:pt idx="59">
                  <c:v>0.81</c:v>
                </c:pt>
                <c:pt idx="60">
                  <c:v>0.71899999999999997</c:v>
                </c:pt>
                <c:pt idx="61">
                  <c:v>0.80400000000000005</c:v>
                </c:pt>
                <c:pt idx="62">
                  <c:v>0.76500000000000001</c:v>
                </c:pt>
                <c:pt idx="63">
                  <c:v>0.82399999999999995</c:v>
                </c:pt>
                <c:pt idx="64">
                  <c:v>0.80400000000000005</c:v>
                </c:pt>
                <c:pt idx="65">
                  <c:v>0.82799999999999996</c:v>
                </c:pt>
                <c:pt idx="66">
                  <c:v>0.84499999999999997</c:v>
                </c:pt>
                <c:pt idx="67">
                  <c:v>0.76100000000000001</c:v>
                </c:pt>
                <c:pt idx="68">
                  <c:v>0.71</c:v>
                </c:pt>
                <c:pt idx="69">
                  <c:v>0.74299999999999999</c:v>
                </c:pt>
                <c:pt idx="70">
                  <c:v>0.77900000000000003</c:v>
                </c:pt>
                <c:pt idx="71">
                  <c:v>0.82</c:v>
                </c:pt>
                <c:pt idx="72">
                  <c:v>0.81599999999999995</c:v>
                </c:pt>
                <c:pt idx="73">
                  <c:v>0.78</c:v>
                </c:pt>
                <c:pt idx="74">
                  <c:v>0.81699999999999995</c:v>
                </c:pt>
                <c:pt idx="75">
                  <c:v>0.72399999999999998</c:v>
                </c:pt>
                <c:pt idx="76">
                  <c:v>0.78300000000000003</c:v>
                </c:pt>
                <c:pt idx="77">
                  <c:v>0.82899999999999996</c:v>
                </c:pt>
                <c:pt idx="78">
                  <c:v>0.79900000000000004</c:v>
                </c:pt>
                <c:pt idx="79">
                  <c:v>0.745</c:v>
                </c:pt>
                <c:pt idx="80">
                  <c:v>0.59599999999999997</c:v>
                </c:pt>
                <c:pt idx="81">
                  <c:v>0.71799999999999997</c:v>
                </c:pt>
                <c:pt idx="82">
                  <c:v>0.76500000000000001</c:v>
                </c:pt>
                <c:pt idx="83">
                  <c:v>0.81699999999999995</c:v>
                </c:pt>
                <c:pt idx="84">
                  <c:v>0.71699999999999997</c:v>
                </c:pt>
                <c:pt idx="85">
                  <c:v>0.73499999999999999</c:v>
                </c:pt>
                <c:pt idx="86">
                  <c:v>0.77700000000000002</c:v>
                </c:pt>
                <c:pt idx="87">
                  <c:v>0.77700000000000002</c:v>
                </c:pt>
                <c:pt idx="88">
                  <c:v>0.76700000000000002</c:v>
                </c:pt>
                <c:pt idx="89">
                  <c:v>0.76800000000000002</c:v>
                </c:pt>
                <c:pt idx="90">
                  <c:v>0.72499999999999998</c:v>
                </c:pt>
                <c:pt idx="91">
                  <c:v>0.74399999999999999</c:v>
                </c:pt>
                <c:pt idx="92">
                  <c:v>0.75900000000000001</c:v>
                </c:pt>
                <c:pt idx="93">
                  <c:v>0.74299999999999999</c:v>
                </c:pt>
                <c:pt idx="94">
                  <c:v>0.67</c:v>
                </c:pt>
                <c:pt idx="95">
                  <c:v>0.70699999999999996</c:v>
                </c:pt>
                <c:pt idx="96">
                  <c:v>0.71099999999999997</c:v>
                </c:pt>
                <c:pt idx="97">
                  <c:v>0.79500000000000004</c:v>
                </c:pt>
                <c:pt idx="98">
                  <c:v>0.78300000000000003</c:v>
                </c:pt>
                <c:pt idx="99">
                  <c:v>0.64600000000000002</c:v>
                </c:pt>
                <c:pt idx="100">
                  <c:v>0.71599999999999997</c:v>
                </c:pt>
                <c:pt idx="101">
                  <c:v>0.72599999999999998</c:v>
                </c:pt>
                <c:pt idx="102">
                  <c:v>0.72</c:v>
                </c:pt>
                <c:pt idx="103">
                  <c:v>0.67400000000000004</c:v>
                </c:pt>
                <c:pt idx="104">
                  <c:v>0.75600000000000001</c:v>
                </c:pt>
                <c:pt idx="105">
                  <c:v>0.60799999999999998</c:v>
                </c:pt>
                <c:pt idx="106">
                  <c:v>0.65100000000000002</c:v>
                </c:pt>
                <c:pt idx="107">
                  <c:v>0.72399999999999998</c:v>
                </c:pt>
                <c:pt idx="108">
                  <c:v>0.71699999999999997</c:v>
                </c:pt>
                <c:pt idx="109">
                  <c:v>0.77900000000000003</c:v>
                </c:pt>
                <c:pt idx="110">
                  <c:v>0.77600000000000002</c:v>
                </c:pt>
                <c:pt idx="111">
                  <c:v>0.67300000000000004</c:v>
                </c:pt>
                <c:pt idx="112">
                  <c:v>0.78600000000000003</c:v>
                </c:pt>
                <c:pt idx="113">
                  <c:v>0.71799999999999997</c:v>
                </c:pt>
                <c:pt idx="114">
                  <c:v>0.74299999999999999</c:v>
                </c:pt>
                <c:pt idx="115">
                  <c:v>0.748</c:v>
                </c:pt>
                <c:pt idx="116">
                  <c:v>0.73699999999999999</c:v>
                </c:pt>
                <c:pt idx="117">
                  <c:v>0.71199999999999997</c:v>
                </c:pt>
                <c:pt idx="118">
                  <c:v>0.78200000000000003</c:v>
                </c:pt>
                <c:pt idx="119">
                  <c:v>0.71499999999999997</c:v>
                </c:pt>
                <c:pt idx="120">
                  <c:v>0.73799999999999999</c:v>
                </c:pt>
                <c:pt idx="121">
                  <c:v>0.70299999999999996</c:v>
                </c:pt>
                <c:pt idx="122">
                  <c:v>0.70299999999999996</c:v>
                </c:pt>
                <c:pt idx="123">
                  <c:v>0.71799999999999997</c:v>
                </c:pt>
                <c:pt idx="124">
                  <c:v>0.70399999999999996</c:v>
                </c:pt>
                <c:pt idx="125">
                  <c:v>0.65400000000000003</c:v>
                </c:pt>
                <c:pt idx="126">
                  <c:v>0.70699999999999996</c:v>
                </c:pt>
                <c:pt idx="127">
                  <c:v>0.68600000000000005</c:v>
                </c:pt>
                <c:pt idx="128">
                  <c:v>0.65400000000000003</c:v>
                </c:pt>
                <c:pt idx="129">
                  <c:v>0.58099999999999996</c:v>
                </c:pt>
                <c:pt idx="130">
                  <c:v>0.628</c:v>
                </c:pt>
                <c:pt idx="131">
                  <c:v>0.63400000000000001</c:v>
                </c:pt>
                <c:pt idx="132">
                  <c:v>0.71099999999999997</c:v>
                </c:pt>
                <c:pt idx="133">
                  <c:v>0.54400000000000004</c:v>
                </c:pt>
                <c:pt idx="134">
                  <c:v>0.61699999999999999</c:v>
                </c:pt>
                <c:pt idx="135">
                  <c:v>0.60099999999999998</c:v>
                </c:pt>
                <c:pt idx="136">
                  <c:v>0.61099999999999999</c:v>
                </c:pt>
                <c:pt idx="137">
                  <c:v>0.60199999999999998</c:v>
                </c:pt>
                <c:pt idx="138">
                  <c:v>0.56000000000000005</c:v>
                </c:pt>
                <c:pt idx="139">
                  <c:v>0.66100000000000003</c:v>
                </c:pt>
                <c:pt idx="140">
                  <c:v>0.64500000000000002</c:v>
                </c:pt>
                <c:pt idx="141">
                  <c:v>0.65100000000000002</c:v>
                </c:pt>
                <c:pt idx="142">
                  <c:v>0.53900000000000003</c:v>
                </c:pt>
                <c:pt idx="143">
                  <c:v>0.54300000000000004</c:v>
                </c:pt>
                <c:pt idx="144">
                  <c:v>0.54100000000000004</c:v>
                </c:pt>
                <c:pt idx="145">
                  <c:v>0.58699999999999997</c:v>
                </c:pt>
                <c:pt idx="146">
                  <c:v>0.53600000000000003</c:v>
                </c:pt>
                <c:pt idx="147">
                  <c:v>0.60099999999999998</c:v>
                </c:pt>
                <c:pt idx="148">
                  <c:v>0.73599999999999999</c:v>
                </c:pt>
                <c:pt idx="149">
                  <c:v>0.54500000000000004</c:v>
                </c:pt>
                <c:pt idx="150">
                  <c:v>0.73</c:v>
                </c:pt>
                <c:pt idx="151">
                  <c:v>0.57099999999999995</c:v>
                </c:pt>
                <c:pt idx="152">
                  <c:v>0.61799999999999999</c:v>
                </c:pt>
                <c:pt idx="153">
                  <c:v>0.51200000000000001</c:v>
                </c:pt>
                <c:pt idx="154">
                  <c:v>0.58399999999999996</c:v>
                </c:pt>
                <c:pt idx="155">
                  <c:v>0.56299999999999994</c:v>
                </c:pt>
                <c:pt idx="156">
                  <c:v>0.51300000000000001</c:v>
                </c:pt>
                <c:pt idx="157">
                  <c:v>0.51800000000000002</c:v>
                </c:pt>
                <c:pt idx="158">
                  <c:v>0.55700000000000005</c:v>
                </c:pt>
                <c:pt idx="159">
                  <c:v>0.51</c:v>
                </c:pt>
                <c:pt idx="160">
                  <c:v>0.54500000000000004</c:v>
                </c:pt>
                <c:pt idx="161">
                  <c:v>0.53800000000000003</c:v>
                </c:pt>
                <c:pt idx="162">
                  <c:v>0.69699999999999995</c:v>
                </c:pt>
                <c:pt idx="163">
                  <c:v>0.58299999999999996</c:v>
                </c:pt>
                <c:pt idx="164">
                  <c:v>0.60199999999999998</c:v>
                </c:pt>
                <c:pt idx="165">
                  <c:v>0.66100000000000003</c:v>
                </c:pt>
                <c:pt idx="166">
                  <c:v>0.53800000000000003</c:v>
                </c:pt>
                <c:pt idx="167">
                  <c:v>0.47</c:v>
                </c:pt>
                <c:pt idx="168">
                  <c:v>0.46600000000000003</c:v>
                </c:pt>
                <c:pt idx="169">
                  <c:v>0.42699999999999999</c:v>
                </c:pt>
                <c:pt idx="170">
                  <c:v>0.54300000000000004</c:v>
                </c:pt>
                <c:pt idx="171">
                  <c:v>0.45200000000000001</c:v>
                </c:pt>
                <c:pt idx="172">
                  <c:v>0.48299999999999998</c:v>
                </c:pt>
                <c:pt idx="173">
                  <c:v>0.48199999999999998</c:v>
                </c:pt>
                <c:pt idx="174">
                  <c:v>0.51</c:v>
                </c:pt>
                <c:pt idx="175">
                  <c:v>0.40100000000000002</c:v>
                </c:pt>
                <c:pt idx="176">
                  <c:v>0.45200000000000001</c:v>
                </c:pt>
                <c:pt idx="177">
                  <c:v>0.48</c:v>
                </c:pt>
                <c:pt idx="178">
                  <c:v>0.48</c:v>
                </c:pt>
                <c:pt idx="179">
                  <c:v>0.51300000000000001</c:v>
                </c:pt>
                <c:pt idx="180">
                  <c:v>0.51</c:v>
                </c:pt>
                <c:pt idx="181">
                  <c:v>0.45200000000000001</c:v>
                </c:pt>
                <c:pt idx="182">
                  <c:v>0.57399999999999995</c:v>
                </c:pt>
                <c:pt idx="183">
                  <c:v>0.51900000000000002</c:v>
                </c:pt>
                <c:pt idx="184">
                  <c:v>0.45600000000000002</c:v>
                </c:pt>
                <c:pt idx="185">
                  <c:v>0.39700000000000002</c:v>
                </c:pt>
                <c:pt idx="186">
                  <c:v>0.48299999999999998</c:v>
                </c:pt>
                <c:pt idx="187">
                  <c:v>0.39400000000000002</c:v>
                </c:pt>
                <c:pt idx="188">
                  <c:v>0.433</c:v>
                </c:pt>
                <c:pt idx="189">
                  <c:v>0.28499999999999998</c:v>
                </c:pt>
                <c:pt idx="190">
                  <c:v>0.41299999999999998</c:v>
                </c:pt>
                <c:pt idx="191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6C-412C-9616-99D046B3E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650951"/>
        <c:axId val="1526288391"/>
      </c:scatterChart>
      <c:valAx>
        <c:axId val="1525650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Anos de escolaridade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288391"/>
        <c:crosses val="autoZero"/>
        <c:crossBetween val="midCat"/>
      </c:valAx>
      <c:valAx>
        <c:axId val="15262883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IDH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650951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2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IDH vs PIB per capita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Resposta!E2:E193</c:f>
              <c:numCache>
                <c:formatCode>#,##0</c:formatCode>
                <c:ptCount val="192"/>
                <c:pt idx="0">
                  <c:v>180000</c:v>
                </c:pt>
                <c:pt idx="1">
                  <c:v>140000</c:v>
                </c:pt>
                <c:pt idx="2">
                  <c:v>88000</c:v>
                </c:pt>
                <c:pt idx="3">
                  <c:v>78000</c:v>
                </c:pt>
                <c:pt idx="4">
                  <c:v>78000</c:v>
                </c:pt>
                <c:pt idx="5">
                  <c:v>69000</c:v>
                </c:pt>
                <c:pt idx="6">
                  <c:v>69000</c:v>
                </c:pt>
                <c:pt idx="7">
                  <c:v>65000</c:v>
                </c:pt>
                <c:pt idx="8">
                  <c:v>63000</c:v>
                </c:pt>
                <c:pt idx="9">
                  <c:v>58000</c:v>
                </c:pt>
                <c:pt idx="10">
                  <c:v>56000</c:v>
                </c:pt>
                <c:pt idx="11">
                  <c:v>55000</c:v>
                </c:pt>
                <c:pt idx="12">
                  <c:v>54000</c:v>
                </c:pt>
                <c:pt idx="13">
                  <c:v>53000</c:v>
                </c:pt>
                <c:pt idx="14">
                  <c:v>53000</c:v>
                </c:pt>
                <c:pt idx="15">
                  <c:v>49000</c:v>
                </c:pt>
                <c:pt idx="16">
                  <c:v>49000</c:v>
                </c:pt>
                <c:pt idx="17">
                  <c:v>46000</c:v>
                </c:pt>
                <c:pt idx="18">
                  <c:v>46000</c:v>
                </c:pt>
                <c:pt idx="19">
                  <c:v>46000</c:v>
                </c:pt>
                <c:pt idx="20">
                  <c:v>45000</c:v>
                </c:pt>
                <c:pt idx="21">
                  <c:v>44000</c:v>
                </c:pt>
                <c:pt idx="22">
                  <c:v>43000</c:v>
                </c:pt>
                <c:pt idx="23">
                  <c:v>42000</c:v>
                </c:pt>
                <c:pt idx="24">
                  <c:v>42000</c:v>
                </c:pt>
                <c:pt idx="25">
                  <c:v>42000</c:v>
                </c:pt>
                <c:pt idx="26">
                  <c:v>40000</c:v>
                </c:pt>
                <c:pt idx="27">
                  <c:v>34000</c:v>
                </c:pt>
                <c:pt idx="28">
                  <c:v>33000</c:v>
                </c:pt>
                <c:pt idx="29">
                  <c:v>32000</c:v>
                </c:pt>
                <c:pt idx="30">
                  <c:v>30000</c:v>
                </c:pt>
                <c:pt idx="31">
                  <c:v>29000</c:v>
                </c:pt>
                <c:pt idx="32">
                  <c:v>29000</c:v>
                </c:pt>
                <c:pt idx="33">
                  <c:v>28000</c:v>
                </c:pt>
                <c:pt idx="34">
                  <c:v>28000</c:v>
                </c:pt>
                <c:pt idx="35">
                  <c:v>27000</c:v>
                </c:pt>
                <c:pt idx="36">
                  <c:v>27000</c:v>
                </c:pt>
                <c:pt idx="37">
                  <c:v>24000</c:v>
                </c:pt>
                <c:pt idx="38">
                  <c:v>23000</c:v>
                </c:pt>
                <c:pt idx="39">
                  <c:v>23000</c:v>
                </c:pt>
                <c:pt idx="40">
                  <c:v>22000</c:v>
                </c:pt>
                <c:pt idx="41">
                  <c:v>21000</c:v>
                </c:pt>
                <c:pt idx="42">
                  <c:v>20000</c:v>
                </c:pt>
                <c:pt idx="43">
                  <c:v>19000</c:v>
                </c:pt>
                <c:pt idx="44">
                  <c:v>18000</c:v>
                </c:pt>
                <c:pt idx="45">
                  <c:v>18000</c:v>
                </c:pt>
                <c:pt idx="46">
                  <c:v>17000</c:v>
                </c:pt>
                <c:pt idx="47">
                  <c:v>16500</c:v>
                </c:pt>
                <c:pt idx="48">
                  <c:v>16500</c:v>
                </c:pt>
                <c:pt idx="49">
                  <c:v>16000</c:v>
                </c:pt>
                <c:pt idx="50">
                  <c:v>16000</c:v>
                </c:pt>
                <c:pt idx="51">
                  <c:v>16000</c:v>
                </c:pt>
                <c:pt idx="52">
                  <c:v>15000</c:v>
                </c:pt>
                <c:pt idx="53">
                  <c:v>15000</c:v>
                </c:pt>
                <c:pt idx="54">
                  <c:v>15000</c:v>
                </c:pt>
                <c:pt idx="55">
                  <c:v>15000</c:v>
                </c:pt>
                <c:pt idx="56">
                  <c:v>14000</c:v>
                </c:pt>
                <c:pt idx="57">
                  <c:v>14000</c:v>
                </c:pt>
                <c:pt idx="58">
                  <c:v>14000</c:v>
                </c:pt>
                <c:pt idx="59">
                  <c:v>12000</c:v>
                </c:pt>
                <c:pt idx="60">
                  <c:v>12000</c:v>
                </c:pt>
                <c:pt idx="61">
                  <c:v>12000</c:v>
                </c:pt>
                <c:pt idx="62">
                  <c:v>12000</c:v>
                </c:pt>
                <c:pt idx="63">
                  <c:v>11500</c:v>
                </c:pt>
                <c:pt idx="64">
                  <c:v>11000</c:v>
                </c:pt>
                <c:pt idx="65">
                  <c:v>11000</c:v>
                </c:pt>
                <c:pt idx="66">
                  <c:v>10500</c:v>
                </c:pt>
                <c:pt idx="67">
                  <c:v>10200</c:v>
                </c:pt>
                <c:pt idx="68">
                  <c:v>10000</c:v>
                </c:pt>
                <c:pt idx="69">
                  <c:v>10000</c:v>
                </c:pt>
                <c:pt idx="70">
                  <c:v>9500</c:v>
                </c:pt>
                <c:pt idx="71">
                  <c:v>9500</c:v>
                </c:pt>
                <c:pt idx="72">
                  <c:v>9200</c:v>
                </c:pt>
                <c:pt idx="73">
                  <c:v>9000</c:v>
                </c:pt>
                <c:pt idx="74">
                  <c:v>9000</c:v>
                </c:pt>
                <c:pt idx="75">
                  <c:v>9000</c:v>
                </c:pt>
                <c:pt idx="76">
                  <c:v>8500</c:v>
                </c:pt>
                <c:pt idx="77">
                  <c:v>8500</c:v>
                </c:pt>
                <c:pt idx="78">
                  <c:v>8500</c:v>
                </c:pt>
                <c:pt idx="79">
                  <c:v>8000</c:v>
                </c:pt>
                <c:pt idx="80">
                  <c:v>8000</c:v>
                </c:pt>
                <c:pt idx="81">
                  <c:v>8000</c:v>
                </c:pt>
                <c:pt idx="82">
                  <c:v>7900</c:v>
                </c:pt>
                <c:pt idx="83">
                  <c:v>7500</c:v>
                </c:pt>
                <c:pt idx="84">
                  <c:v>7000</c:v>
                </c:pt>
                <c:pt idx="85">
                  <c:v>6800</c:v>
                </c:pt>
                <c:pt idx="86">
                  <c:v>6800</c:v>
                </c:pt>
                <c:pt idx="87">
                  <c:v>6800</c:v>
                </c:pt>
                <c:pt idx="88">
                  <c:v>6700</c:v>
                </c:pt>
                <c:pt idx="89">
                  <c:v>6500</c:v>
                </c:pt>
                <c:pt idx="90">
                  <c:v>6500</c:v>
                </c:pt>
                <c:pt idx="91">
                  <c:v>6500</c:v>
                </c:pt>
                <c:pt idx="92">
                  <c:v>6000</c:v>
                </c:pt>
                <c:pt idx="93">
                  <c:v>6000</c:v>
                </c:pt>
                <c:pt idx="94">
                  <c:v>6000</c:v>
                </c:pt>
                <c:pt idx="95">
                  <c:v>6000</c:v>
                </c:pt>
                <c:pt idx="96">
                  <c:v>6000</c:v>
                </c:pt>
                <c:pt idx="97">
                  <c:v>5500</c:v>
                </c:pt>
                <c:pt idx="98">
                  <c:v>5500</c:v>
                </c:pt>
                <c:pt idx="99">
                  <c:v>5500</c:v>
                </c:pt>
                <c:pt idx="100">
                  <c:v>5500</c:v>
                </c:pt>
                <c:pt idx="101">
                  <c:v>5300</c:v>
                </c:pt>
                <c:pt idx="102">
                  <c:v>5000</c:v>
                </c:pt>
                <c:pt idx="103">
                  <c:v>5000</c:v>
                </c:pt>
                <c:pt idx="104">
                  <c:v>4800</c:v>
                </c:pt>
                <c:pt idx="105">
                  <c:v>4500</c:v>
                </c:pt>
                <c:pt idx="106">
                  <c:v>4500</c:v>
                </c:pt>
                <c:pt idx="107">
                  <c:v>4500</c:v>
                </c:pt>
                <c:pt idx="108">
                  <c:v>4500</c:v>
                </c:pt>
                <c:pt idx="109">
                  <c:v>4500</c:v>
                </c:pt>
                <c:pt idx="110">
                  <c:v>4400</c:v>
                </c:pt>
                <c:pt idx="111">
                  <c:v>4200</c:v>
                </c:pt>
                <c:pt idx="112">
                  <c:v>4200</c:v>
                </c:pt>
                <c:pt idx="113">
                  <c:v>4200</c:v>
                </c:pt>
                <c:pt idx="114">
                  <c:v>4200</c:v>
                </c:pt>
                <c:pt idx="115">
                  <c:v>4000</c:v>
                </c:pt>
                <c:pt idx="116">
                  <c:v>4000</c:v>
                </c:pt>
                <c:pt idx="117">
                  <c:v>4000</c:v>
                </c:pt>
                <c:pt idx="118">
                  <c:v>4000</c:v>
                </c:pt>
                <c:pt idx="119">
                  <c:v>4000</c:v>
                </c:pt>
                <c:pt idx="120">
                  <c:v>3900</c:v>
                </c:pt>
                <c:pt idx="121">
                  <c:v>3600</c:v>
                </c:pt>
                <c:pt idx="122">
                  <c:v>3500</c:v>
                </c:pt>
                <c:pt idx="123">
                  <c:v>3500</c:v>
                </c:pt>
                <c:pt idx="124">
                  <c:v>3500</c:v>
                </c:pt>
                <c:pt idx="125">
                  <c:v>3300</c:v>
                </c:pt>
                <c:pt idx="126">
                  <c:v>3200</c:v>
                </c:pt>
                <c:pt idx="127">
                  <c:v>3200</c:v>
                </c:pt>
                <c:pt idx="128">
                  <c:v>3100</c:v>
                </c:pt>
                <c:pt idx="129">
                  <c:v>3000</c:v>
                </c:pt>
                <c:pt idx="130">
                  <c:v>3000</c:v>
                </c:pt>
                <c:pt idx="131">
                  <c:v>2900</c:v>
                </c:pt>
                <c:pt idx="132">
                  <c:v>2800</c:v>
                </c:pt>
                <c:pt idx="133">
                  <c:v>2500</c:v>
                </c:pt>
                <c:pt idx="134">
                  <c:v>2500</c:v>
                </c:pt>
                <c:pt idx="135">
                  <c:v>2400</c:v>
                </c:pt>
                <c:pt idx="136">
                  <c:v>2400</c:v>
                </c:pt>
                <c:pt idx="137">
                  <c:v>2400</c:v>
                </c:pt>
                <c:pt idx="138">
                  <c:v>2300</c:v>
                </c:pt>
                <c:pt idx="139">
                  <c:v>2200</c:v>
                </c:pt>
                <c:pt idx="140">
                  <c:v>2200</c:v>
                </c:pt>
                <c:pt idx="141">
                  <c:v>2200</c:v>
                </c:pt>
                <c:pt idx="142">
                  <c:v>2200</c:v>
                </c:pt>
                <c:pt idx="143">
                  <c:v>2100</c:v>
                </c:pt>
                <c:pt idx="144">
                  <c:v>2000</c:v>
                </c:pt>
                <c:pt idx="145">
                  <c:v>2000</c:v>
                </c:pt>
                <c:pt idx="146">
                  <c:v>2000</c:v>
                </c:pt>
                <c:pt idx="147">
                  <c:v>1900</c:v>
                </c:pt>
                <c:pt idx="148">
                  <c:v>1900</c:v>
                </c:pt>
                <c:pt idx="149">
                  <c:v>1800</c:v>
                </c:pt>
                <c:pt idx="150">
                  <c:v>1800</c:v>
                </c:pt>
                <c:pt idx="151">
                  <c:v>1800</c:v>
                </c:pt>
                <c:pt idx="152">
                  <c:v>1700</c:v>
                </c:pt>
                <c:pt idx="153">
                  <c:v>1600</c:v>
                </c:pt>
                <c:pt idx="154">
                  <c:v>1600</c:v>
                </c:pt>
                <c:pt idx="155">
                  <c:v>1500</c:v>
                </c:pt>
                <c:pt idx="156">
                  <c:v>1500</c:v>
                </c:pt>
                <c:pt idx="157">
                  <c:v>1500</c:v>
                </c:pt>
                <c:pt idx="158">
                  <c:v>1500</c:v>
                </c:pt>
                <c:pt idx="159">
                  <c:v>1500</c:v>
                </c:pt>
                <c:pt idx="160">
                  <c:v>1200</c:v>
                </c:pt>
                <c:pt idx="161">
                  <c:v>1200</c:v>
                </c:pt>
                <c:pt idx="162">
                  <c:v>1200</c:v>
                </c:pt>
                <c:pt idx="163">
                  <c:v>1200</c:v>
                </c:pt>
                <c:pt idx="164">
                  <c:v>1200</c:v>
                </c:pt>
                <c:pt idx="165">
                  <c:v>1200</c:v>
                </c:pt>
                <c:pt idx="166">
                  <c:v>1100</c:v>
                </c:pt>
                <c:pt idx="167">
                  <c:v>1000</c:v>
                </c:pt>
                <c:pt idx="168" formatCode="General">
                  <c:v>900</c:v>
                </c:pt>
                <c:pt idx="169" formatCode="General">
                  <c:v>900</c:v>
                </c:pt>
                <c:pt idx="170" formatCode="General">
                  <c:v>900</c:v>
                </c:pt>
                <c:pt idx="171" formatCode="General">
                  <c:v>800</c:v>
                </c:pt>
                <c:pt idx="172" formatCode="General">
                  <c:v>800</c:v>
                </c:pt>
                <c:pt idx="173" formatCode="General">
                  <c:v>800</c:v>
                </c:pt>
                <c:pt idx="174" formatCode="General">
                  <c:v>800</c:v>
                </c:pt>
                <c:pt idx="175" formatCode="General">
                  <c:v>700</c:v>
                </c:pt>
                <c:pt idx="176" formatCode="General">
                  <c:v>700</c:v>
                </c:pt>
                <c:pt idx="177" formatCode="General">
                  <c:v>700</c:v>
                </c:pt>
                <c:pt idx="178" formatCode="General">
                  <c:v>700</c:v>
                </c:pt>
                <c:pt idx="179" formatCode="General">
                  <c:v>700</c:v>
                </c:pt>
                <c:pt idx="180" formatCode="General">
                  <c:v>600</c:v>
                </c:pt>
                <c:pt idx="181" formatCode="General">
                  <c:v>600</c:v>
                </c:pt>
                <c:pt idx="182" formatCode="General">
                  <c:v>500</c:v>
                </c:pt>
                <c:pt idx="183" formatCode="General">
                  <c:v>500</c:v>
                </c:pt>
                <c:pt idx="184" formatCode="General">
                  <c:v>500</c:v>
                </c:pt>
                <c:pt idx="185" formatCode="General">
                  <c:v>400</c:v>
                </c:pt>
                <c:pt idx="186" formatCode="General">
                  <c:v>400</c:v>
                </c:pt>
                <c:pt idx="187" formatCode="General">
                  <c:v>400</c:v>
                </c:pt>
                <c:pt idx="188" formatCode="General">
                  <c:v>300</c:v>
                </c:pt>
                <c:pt idx="189" formatCode="General">
                  <c:v>300</c:v>
                </c:pt>
                <c:pt idx="190" formatCode="General">
                  <c:v>300</c:v>
                </c:pt>
                <c:pt idx="191" formatCode="General">
                  <c:v>0</c:v>
                </c:pt>
              </c:numCache>
            </c:numRef>
          </c:xVal>
          <c:yVal>
            <c:numRef>
              <c:f>Resposta!C2:C193</c:f>
              <c:numCache>
                <c:formatCode>General</c:formatCode>
                <c:ptCount val="192"/>
                <c:pt idx="0">
                  <c:v>0.95699999999999996</c:v>
                </c:pt>
                <c:pt idx="1">
                  <c:v>0.91700000000000004</c:v>
                </c:pt>
                <c:pt idx="2">
                  <c:v>0.93799999999999994</c:v>
                </c:pt>
                <c:pt idx="3">
                  <c:v>0.95499999999999996</c:v>
                </c:pt>
                <c:pt idx="4">
                  <c:v>0.91600000000000004</c:v>
                </c:pt>
                <c:pt idx="5">
                  <c:v>0.96099999999999997</c:v>
                </c:pt>
                <c:pt idx="6">
                  <c:v>0.96199999999999997</c:v>
                </c:pt>
                <c:pt idx="7">
                  <c:v>0.92600000000000005</c:v>
                </c:pt>
                <c:pt idx="8">
                  <c:v>0.84799999999999998</c:v>
                </c:pt>
                <c:pt idx="9">
                  <c:v>0.94</c:v>
                </c:pt>
                <c:pt idx="10">
                  <c:v>0.94499999999999995</c:v>
                </c:pt>
                <c:pt idx="11">
                  <c:v>0.94899999999999995</c:v>
                </c:pt>
                <c:pt idx="12">
                  <c:v>0.94899999999999995</c:v>
                </c:pt>
                <c:pt idx="13">
                  <c:v>0.92200000000000004</c:v>
                </c:pt>
                <c:pt idx="14">
                  <c:v>0.94399999999999995</c:v>
                </c:pt>
                <c:pt idx="15">
                  <c:v>0.93100000000000005</c:v>
                </c:pt>
                <c:pt idx="16">
                  <c:v>0.93799999999999994</c:v>
                </c:pt>
                <c:pt idx="17">
                  <c:v>0.92900000000000005</c:v>
                </c:pt>
                <c:pt idx="18">
                  <c:v>0.94199999999999995</c:v>
                </c:pt>
                <c:pt idx="19">
                  <c:v>0.92200000000000004</c:v>
                </c:pt>
                <c:pt idx="20">
                  <c:v>0.89200000000000002</c:v>
                </c:pt>
                <c:pt idx="21">
                  <c:v>0.91900000000000004</c:v>
                </c:pt>
                <c:pt idx="22">
                  <c:v>0.89</c:v>
                </c:pt>
                <c:pt idx="23">
                  <c:v>0.85799999999999998</c:v>
                </c:pt>
                <c:pt idx="24">
                  <c:v>0.90100000000000002</c:v>
                </c:pt>
                <c:pt idx="25">
                  <c:v>0.92100000000000004</c:v>
                </c:pt>
                <c:pt idx="26">
                  <c:v>0.92500000000000004</c:v>
                </c:pt>
                <c:pt idx="27">
                  <c:v>0.89200000000000002</c:v>
                </c:pt>
                <c:pt idx="28">
                  <c:v>0.91600000000000004</c:v>
                </c:pt>
                <c:pt idx="29">
                  <c:v>0.90700000000000003</c:v>
                </c:pt>
                <c:pt idx="30">
                  <c:v>0.90400000000000003</c:v>
                </c:pt>
                <c:pt idx="31">
                  <c:v>0.84499999999999997</c:v>
                </c:pt>
                <c:pt idx="32">
                  <c:v>0.80600000000000005</c:v>
                </c:pt>
                <c:pt idx="33">
                  <c:v>0.81399999999999995</c:v>
                </c:pt>
                <c:pt idx="34">
                  <c:v>0.88700000000000001</c:v>
                </c:pt>
                <c:pt idx="35">
                  <c:v>0.88800000000000001</c:v>
                </c:pt>
                <c:pt idx="36">
                  <c:v>0.91800000000000004</c:v>
                </c:pt>
                <c:pt idx="37">
                  <c:v>0.85199999999999998</c:v>
                </c:pt>
                <c:pt idx="38">
                  <c:v>0.88200000000000001</c:v>
                </c:pt>
                <c:pt idx="39">
                  <c:v>0.86399999999999999</c:v>
                </c:pt>
                <c:pt idx="40">
                  <c:v>0.9</c:v>
                </c:pt>
                <c:pt idx="41">
                  <c:v>0.85399999999999998</c:v>
                </c:pt>
                <c:pt idx="42">
                  <c:v>0.88800000000000001</c:v>
                </c:pt>
                <c:pt idx="43">
                  <c:v>0.85499999999999998</c:v>
                </c:pt>
                <c:pt idx="44">
                  <c:v>0.88500000000000001</c:v>
                </c:pt>
                <c:pt idx="45">
                  <c:v>0.82099999999999995</c:v>
                </c:pt>
                <c:pt idx="46">
                  <c:v>0.70199999999999996</c:v>
                </c:pt>
                <c:pt idx="47">
                  <c:v>0.79</c:v>
                </c:pt>
                <c:pt idx="48">
                  <c:v>0.88</c:v>
                </c:pt>
                <c:pt idx="49">
                  <c:v>0.85399999999999998</c:v>
                </c:pt>
                <c:pt idx="50">
                  <c:v>0.79700000000000004</c:v>
                </c:pt>
                <c:pt idx="51">
                  <c:v>0.81699999999999995</c:v>
                </c:pt>
                <c:pt idx="52">
                  <c:v>0.77800000000000002</c:v>
                </c:pt>
                <c:pt idx="53">
                  <c:v>0.86599999999999999</c:v>
                </c:pt>
                <c:pt idx="54">
                  <c:v>0.81699999999999995</c:v>
                </c:pt>
                <c:pt idx="55">
                  <c:v>0.80100000000000005</c:v>
                </c:pt>
                <c:pt idx="56">
                  <c:v>0.85099999999999998</c:v>
                </c:pt>
                <c:pt idx="57">
                  <c:v>0.85099999999999998</c:v>
                </c:pt>
                <c:pt idx="58">
                  <c:v>0.80100000000000005</c:v>
                </c:pt>
                <c:pt idx="59">
                  <c:v>0.81</c:v>
                </c:pt>
                <c:pt idx="60">
                  <c:v>0.71899999999999997</c:v>
                </c:pt>
                <c:pt idx="61">
                  <c:v>0.80400000000000005</c:v>
                </c:pt>
                <c:pt idx="62">
                  <c:v>0.76500000000000001</c:v>
                </c:pt>
                <c:pt idx="63">
                  <c:v>0.82399999999999995</c:v>
                </c:pt>
                <c:pt idx="64">
                  <c:v>0.80400000000000005</c:v>
                </c:pt>
                <c:pt idx="65">
                  <c:v>0.82799999999999996</c:v>
                </c:pt>
                <c:pt idx="66">
                  <c:v>0.84499999999999997</c:v>
                </c:pt>
                <c:pt idx="67">
                  <c:v>0.76100000000000001</c:v>
                </c:pt>
                <c:pt idx="68">
                  <c:v>0.71</c:v>
                </c:pt>
                <c:pt idx="69">
                  <c:v>0.74299999999999999</c:v>
                </c:pt>
                <c:pt idx="70">
                  <c:v>0.77900000000000003</c:v>
                </c:pt>
                <c:pt idx="71">
                  <c:v>0.82</c:v>
                </c:pt>
                <c:pt idx="72">
                  <c:v>0.81599999999999995</c:v>
                </c:pt>
                <c:pt idx="73">
                  <c:v>0.78</c:v>
                </c:pt>
                <c:pt idx="74">
                  <c:v>0.81699999999999995</c:v>
                </c:pt>
                <c:pt idx="75">
                  <c:v>0.72399999999999998</c:v>
                </c:pt>
                <c:pt idx="76">
                  <c:v>0.78300000000000003</c:v>
                </c:pt>
                <c:pt idx="77">
                  <c:v>0.82899999999999996</c:v>
                </c:pt>
                <c:pt idx="78">
                  <c:v>0.79900000000000004</c:v>
                </c:pt>
                <c:pt idx="79">
                  <c:v>0.745</c:v>
                </c:pt>
                <c:pt idx="80">
                  <c:v>0.59599999999999997</c:v>
                </c:pt>
                <c:pt idx="81">
                  <c:v>0.71799999999999997</c:v>
                </c:pt>
                <c:pt idx="82">
                  <c:v>0.76500000000000001</c:v>
                </c:pt>
                <c:pt idx="83">
                  <c:v>0.81699999999999995</c:v>
                </c:pt>
                <c:pt idx="84">
                  <c:v>0.71699999999999997</c:v>
                </c:pt>
                <c:pt idx="85">
                  <c:v>0.73499999999999999</c:v>
                </c:pt>
                <c:pt idx="86">
                  <c:v>0.77700000000000002</c:v>
                </c:pt>
                <c:pt idx="87">
                  <c:v>0.77700000000000002</c:v>
                </c:pt>
                <c:pt idx="88">
                  <c:v>0.76700000000000002</c:v>
                </c:pt>
                <c:pt idx="89">
                  <c:v>0.76800000000000002</c:v>
                </c:pt>
                <c:pt idx="90">
                  <c:v>0.72499999999999998</c:v>
                </c:pt>
                <c:pt idx="91">
                  <c:v>0.74399999999999999</c:v>
                </c:pt>
                <c:pt idx="92">
                  <c:v>0.75900000000000001</c:v>
                </c:pt>
                <c:pt idx="93">
                  <c:v>0.74299999999999999</c:v>
                </c:pt>
                <c:pt idx="94">
                  <c:v>0.67</c:v>
                </c:pt>
                <c:pt idx="95">
                  <c:v>0.70699999999999996</c:v>
                </c:pt>
                <c:pt idx="96">
                  <c:v>0.71099999999999997</c:v>
                </c:pt>
                <c:pt idx="97">
                  <c:v>0.79500000000000004</c:v>
                </c:pt>
                <c:pt idx="98">
                  <c:v>0.78300000000000003</c:v>
                </c:pt>
                <c:pt idx="99">
                  <c:v>0.64600000000000002</c:v>
                </c:pt>
                <c:pt idx="100">
                  <c:v>0.71599999999999997</c:v>
                </c:pt>
                <c:pt idx="101">
                  <c:v>0.72599999999999998</c:v>
                </c:pt>
                <c:pt idx="102">
                  <c:v>0.72</c:v>
                </c:pt>
                <c:pt idx="103">
                  <c:v>0.67400000000000004</c:v>
                </c:pt>
                <c:pt idx="104">
                  <c:v>0.75600000000000001</c:v>
                </c:pt>
                <c:pt idx="105">
                  <c:v>0.60799999999999998</c:v>
                </c:pt>
                <c:pt idx="106">
                  <c:v>0.65100000000000002</c:v>
                </c:pt>
                <c:pt idx="107">
                  <c:v>0.72399999999999998</c:v>
                </c:pt>
                <c:pt idx="108">
                  <c:v>0.71699999999999997</c:v>
                </c:pt>
                <c:pt idx="109">
                  <c:v>0.77900000000000003</c:v>
                </c:pt>
                <c:pt idx="110">
                  <c:v>0.77600000000000002</c:v>
                </c:pt>
                <c:pt idx="111">
                  <c:v>0.67300000000000004</c:v>
                </c:pt>
                <c:pt idx="112">
                  <c:v>0.78600000000000003</c:v>
                </c:pt>
                <c:pt idx="113">
                  <c:v>0.71799999999999997</c:v>
                </c:pt>
                <c:pt idx="114">
                  <c:v>0.74299999999999999</c:v>
                </c:pt>
                <c:pt idx="115">
                  <c:v>0.748</c:v>
                </c:pt>
                <c:pt idx="116">
                  <c:v>0.73699999999999999</c:v>
                </c:pt>
                <c:pt idx="117">
                  <c:v>0.71199999999999997</c:v>
                </c:pt>
                <c:pt idx="118">
                  <c:v>0.78200000000000003</c:v>
                </c:pt>
                <c:pt idx="119">
                  <c:v>0.71499999999999997</c:v>
                </c:pt>
                <c:pt idx="120">
                  <c:v>0.73799999999999999</c:v>
                </c:pt>
                <c:pt idx="121">
                  <c:v>0.70299999999999996</c:v>
                </c:pt>
                <c:pt idx="122">
                  <c:v>0.70299999999999996</c:v>
                </c:pt>
                <c:pt idx="123">
                  <c:v>0.71799999999999997</c:v>
                </c:pt>
                <c:pt idx="124">
                  <c:v>0.70399999999999996</c:v>
                </c:pt>
                <c:pt idx="125">
                  <c:v>0.65400000000000003</c:v>
                </c:pt>
                <c:pt idx="126">
                  <c:v>0.70699999999999996</c:v>
                </c:pt>
                <c:pt idx="127">
                  <c:v>0.68600000000000005</c:v>
                </c:pt>
                <c:pt idx="128">
                  <c:v>0.65400000000000003</c:v>
                </c:pt>
                <c:pt idx="129">
                  <c:v>0.58099999999999996</c:v>
                </c:pt>
                <c:pt idx="130">
                  <c:v>0.628</c:v>
                </c:pt>
                <c:pt idx="131">
                  <c:v>0.63400000000000001</c:v>
                </c:pt>
                <c:pt idx="132">
                  <c:v>0.71099999999999997</c:v>
                </c:pt>
                <c:pt idx="133">
                  <c:v>0.54400000000000004</c:v>
                </c:pt>
                <c:pt idx="134">
                  <c:v>0.61699999999999999</c:v>
                </c:pt>
                <c:pt idx="135">
                  <c:v>0.60099999999999998</c:v>
                </c:pt>
                <c:pt idx="136">
                  <c:v>0.61099999999999999</c:v>
                </c:pt>
                <c:pt idx="137">
                  <c:v>0.60199999999999998</c:v>
                </c:pt>
                <c:pt idx="138">
                  <c:v>0.56000000000000005</c:v>
                </c:pt>
                <c:pt idx="139">
                  <c:v>0.66100000000000003</c:v>
                </c:pt>
                <c:pt idx="140">
                  <c:v>0.64500000000000002</c:v>
                </c:pt>
                <c:pt idx="141">
                  <c:v>0.65100000000000002</c:v>
                </c:pt>
                <c:pt idx="142">
                  <c:v>0.53900000000000003</c:v>
                </c:pt>
                <c:pt idx="143">
                  <c:v>0.54300000000000004</c:v>
                </c:pt>
                <c:pt idx="144">
                  <c:v>0.54100000000000004</c:v>
                </c:pt>
                <c:pt idx="145">
                  <c:v>0.58699999999999997</c:v>
                </c:pt>
                <c:pt idx="146">
                  <c:v>0.53600000000000003</c:v>
                </c:pt>
                <c:pt idx="147">
                  <c:v>0.60099999999999998</c:v>
                </c:pt>
                <c:pt idx="148">
                  <c:v>0.73599999999999999</c:v>
                </c:pt>
                <c:pt idx="149">
                  <c:v>0.54500000000000004</c:v>
                </c:pt>
                <c:pt idx="150">
                  <c:v>0.73</c:v>
                </c:pt>
                <c:pt idx="151">
                  <c:v>0.57099999999999995</c:v>
                </c:pt>
                <c:pt idx="152">
                  <c:v>0.61799999999999999</c:v>
                </c:pt>
                <c:pt idx="153">
                  <c:v>0.51200000000000001</c:v>
                </c:pt>
                <c:pt idx="154">
                  <c:v>0.58399999999999996</c:v>
                </c:pt>
                <c:pt idx="155">
                  <c:v>0.56299999999999994</c:v>
                </c:pt>
                <c:pt idx="156">
                  <c:v>0.51300000000000001</c:v>
                </c:pt>
                <c:pt idx="157">
                  <c:v>0.51800000000000002</c:v>
                </c:pt>
                <c:pt idx="158">
                  <c:v>0.55700000000000005</c:v>
                </c:pt>
                <c:pt idx="159">
                  <c:v>0.51</c:v>
                </c:pt>
                <c:pt idx="160">
                  <c:v>0.54500000000000004</c:v>
                </c:pt>
                <c:pt idx="161">
                  <c:v>0.53800000000000003</c:v>
                </c:pt>
                <c:pt idx="162">
                  <c:v>0.69699999999999995</c:v>
                </c:pt>
                <c:pt idx="163">
                  <c:v>0.58299999999999996</c:v>
                </c:pt>
                <c:pt idx="164">
                  <c:v>0.60199999999999998</c:v>
                </c:pt>
                <c:pt idx="165">
                  <c:v>0.66100000000000003</c:v>
                </c:pt>
                <c:pt idx="166">
                  <c:v>0.53800000000000003</c:v>
                </c:pt>
                <c:pt idx="167">
                  <c:v>0.47</c:v>
                </c:pt>
                <c:pt idx="168">
                  <c:v>0.46600000000000003</c:v>
                </c:pt>
                <c:pt idx="169">
                  <c:v>0.42699999999999999</c:v>
                </c:pt>
                <c:pt idx="170">
                  <c:v>0.54300000000000004</c:v>
                </c:pt>
                <c:pt idx="171">
                  <c:v>0.45200000000000001</c:v>
                </c:pt>
                <c:pt idx="172">
                  <c:v>0.48299999999999998</c:v>
                </c:pt>
                <c:pt idx="173">
                  <c:v>0.48199999999999998</c:v>
                </c:pt>
                <c:pt idx="174">
                  <c:v>0.51</c:v>
                </c:pt>
                <c:pt idx="175">
                  <c:v>0.40100000000000002</c:v>
                </c:pt>
                <c:pt idx="176">
                  <c:v>0.45200000000000001</c:v>
                </c:pt>
                <c:pt idx="177">
                  <c:v>0.48</c:v>
                </c:pt>
                <c:pt idx="178">
                  <c:v>0.48</c:v>
                </c:pt>
                <c:pt idx="179">
                  <c:v>0.51300000000000001</c:v>
                </c:pt>
                <c:pt idx="180">
                  <c:v>0.51</c:v>
                </c:pt>
                <c:pt idx="181">
                  <c:v>0.45200000000000001</c:v>
                </c:pt>
                <c:pt idx="182">
                  <c:v>0.57399999999999995</c:v>
                </c:pt>
                <c:pt idx="183">
                  <c:v>0.51900000000000002</c:v>
                </c:pt>
                <c:pt idx="184">
                  <c:v>0.45600000000000002</c:v>
                </c:pt>
                <c:pt idx="185">
                  <c:v>0.39700000000000002</c:v>
                </c:pt>
                <c:pt idx="186">
                  <c:v>0.48299999999999998</c:v>
                </c:pt>
                <c:pt idx="187">
                  <c:v>0.39400000000000002</c:v>
                </c:pt>
                <c:pt idx="188">
                  <c:v>0.433</c:v>
                </c:pt>
                <c:pt idx="189">
                  <c:v>0.28499999999999998</c:v>
                </c:pt>
                <c:pt idx="190">
                  <c:v>0.41299999999999998</c:v>
                </c:pt>
                <c:pt idx="191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38-4953-ADDF-ADA234A0F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2589320"/>
        <c:axId val="1381016584"/>
      </c:scatterChart>
      <c:valAx>
        <c:axId val="1192589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PIB per capita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016584"/>
        <c:crosses val="autoZero"/>
        <c:crossBetween val="midCat"/>
      </c:valAx>
      <c:valAx>
        <c:axId val="13810165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IDH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589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2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IDH médio por Continente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Resposta!$G$2:$G$6</c:f>
              <c:strCache>
                <c:ptCount val="5"/>
                <c:pt idx="0">
                  <c:v>Europa</c:v>
                </c:pt>
                <c:pt idx="1">
                  <c:v>América</c:v>
                </c:pt>
                <c:pt idx="2">
                  <c:v>Ásia</c:v>
                </c:pt>
                <c:pt idx="3">
                  <c:v>Oceania</c:v>
                </c:pt>
                <c:pt idx="4">
                  <c:v>África</c:v>
                </c:pt>
              </c:strCache>
            </c:strRef>
          </c:cat>
          <c:val>
            <c:numRef>
              <c:f>Resposta!$H$2:$H$6</c:f>
              <c:numCache>
                <c:formatCode>0.00</c:formatCode>
                <c:ptCount val="5"/>
                <c:pt idx="0">
                  <c:v>0.88360465116279097</c:v>
                </c:pt>
                <c:pt idx="1">
                  <c:v>0.75340000000000007</c:v>
                </c:pt>
                <c:pt idx="2">
                  <c:v>0.74756521739130433</c:v>
                </c:pt>
                <c:pt idx="3">
                  <c:v>0.71615384615384636</c:v>
                </c:pt>
                <c:pt idx="4">
                  <c:v>0.55522222222222239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5-4B94-A905-BD606C3D7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9943303"/>
        <c:axId val="1589967879"/>
      </c:barChart>
      <c:catAx>
        <c:axId val="1589943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967879"/>
        <c:crosses val="autoZero"/>
        <c:auto val="1"/>
        <c:lblAlgn val="ctr"/>
        <c:lblOffset val="100"/>
        <c:noMultiLvlLbl val="0"/>
      </c:catAx>
      <c:valAx>
        <c:axId val="1589967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IDH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943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2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Resposta!$I$10</c:f>
              <c:strCache>
                <c:ptCount val="1"/>
                <c:pt idx="0">
                  <c:v>% Acima da Média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Resposta!$G$11:$G$15</c:f>
              <c:strCache>
                <c:ptCount val="5"/>
                <c:pt idx="0">
                  <c:v>Europa</c:v>
                </c:pt>
                <c:pt idx="1">
                  <c:v>América</c:v>
                </c:pt>
                <c:pt idx="2">
                  <c:v>Ásia</c:v>
                </c:pt>
                <c:pt idx="3">
                  <c:v>Oceania</c:v>
                </c:pt>
                <c:pt idx="4">
                  <c:v>África</c:v>
                </c:pt>
              </c:strCache>
            </c:strRef>
          </c:cat>
          <c:val>
            <c:numRef>
              <c:f>Resposta!$I$11:$I$15</c:f>
              <c:numCache>
                <c:formatCode>0%</c:formatCode>
                <c:ptCount val="5"/>
                <c:pt idx="0">
                  <c:v>0.97674418604651159</c:v>
                </c:pt>
                <c:pt idx="1">
                  <c:v>0.68571428571428572</c:v>
                </c:pt>
                <c:pt idx="2">
                  <c:v>0.60869565217391308</c:v>
                </c:pt>
                <c:pt idx="3">
                  <c:v>0.30769230769230771</c:v>
                </c:pt>
                <c:pt idx="4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A-45FC-8AB4-0ABB4269A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7918855"/>
        <c:axId val="1587920903"/>
      </c:barChart>
      <c:catAx>
        <c:axId val="1587918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920903"/>
        <c:crosses val="autoZero"/>
        <c:auto val="1"/>
        <c:lblAlgn val="ctr"/>
        <c:lblOffset val="100"/>
        <c:noMultiLvlLbl val="0"/>
      </c:catAx>
      <c:valAx>
        <c:axId val="158792090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Acima da Média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918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2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476250</xdr:colOff>
      <xdr:row>0</xdr:row>
      <xdr:rowOff>180975</xdr:rowOff>
    </xdr:from>
    <xdr:to>
      <xdr:col>18</xdr:col>
      <xdr:colOff>171450</xdr:colOff>
      <xdr:row>15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2A363E2-0A2D-DBD9-99A4-312B997A6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476250</xdr:colOff>
      <xdr:row>15</xdr:row>
      <xdr:rowOff>180975</xdr:rowOff>
    </xdr:from>
    <xdr:to>
      <xdr:col>18</xdr:col>
      <xdr:colOff>190500</xdr:colOff>
      <xdr:row>30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69C927B-3EDF-384E-2A63-BE4A64C0A0C6}"/>
            </a:ext>
            <a:ext uri="{147F2762-F138-4A5C-976F-8EAC2B608ADB}">
              <a16:predDERef xmlns:a16="http://schemas.microsoft.com/office/drawing/2014/main" pred="{92A363E2-0A2D-DBD9-99A4-312B997A6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476250</xdr:colOff>
      <xdr:row>32</xdr:row>
      <xdr:rowOff>0</xdr:rowOff>
    </xdr:from>
    <xdr:to>
      <xdr:col>18</xdr:col>
      <xdr:colOff>171450</xdr:colOff>
      <xdr:row>46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B0D9AD1-1544-9181-C767-1608C85E8858}"/>
            </a:ext>
            <a:ext uri="{147F2762-F138-4A5C-976F-8EAC2B608ADB}">
              <a16:predDERef xmlns:a16="http://schemas.microsoft.com/office/drawing/2014/main" pred="{169C927B-3EDF-384E-2A63-BE4A64C0A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590550</xdr:colOff>
      <xdr:row>16</xdr:row>
      <xdr:rowOff>0</xdr:rowOff>
    </xdr:from>
    <xdr:to>
      <xdr:col>10</xdr:col>
      <xdr:colOff>333375</xdr:colOff>
      <xdr:row>30</xdr:row>
      <xdr:rowOff>171450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0EDCEB0-8919-C2CE-6F06-B5DEB1CE1593}"/>
            </a:ext>
            <a:ext uri="{147F2762-F138-4A5C-976F-8EAC2B608ADB}">
              <a16:predDERef xmlns:a16="http://schemas.microsoft.com/office/drawing/2014/main" pred="{7B0D9AD1-1544-9181-C767-1608C85E88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3"/>
  <sheetViews>
    <sheetView tabSelected="1" workbookViewId="0">
      <selection sqref="A1:D1"/>
    </sheetView>
  </sheetViews>
  <sheetFormatPr defaultRowHeight="15"/>
  <cols>
    <col min="1" max="1" width="24.140625" bestFit="1" customWidth="1"/>
    <col min="2" max="2" width="6.140625" bestFit="1" customWidth="1"/>
    <col min="3" max="3" width="27.140625" bestFit="1" customWidth="1"/>
    <col min="4" max="4" width="16.140625" bestFit="1" customWidth="1"/>
  </cols>
  <sheetData>
    <row r="1" spans="1:4">
      <c r="A1" s="9" t="s">
        <v>0</v>
      </c>
      <c r="B1" s="9" t="s">
        <v>1</v>
      </c>
      <c r="C1" s="9" t="s">
        <v>2</v>
      </c>
      <c r="D1" s="9" t="s">
        <v>3</v>
      </c>
    </row>
    <row r="2" spans="1:4">
      <c r="A2" s="1" t="s">
        <v>4</v>
      </c>
      <c r="B2" s="1">
        <v>0.51</v>
      </c>
      <c r="C2" s="1">
        <v>5</v>
      </c>
      <c r="D2" s="1">
        <v>600</v>
      </c>
    </row>
    <row r="3" spans="1:4">
      <c r="A3" s="1" t="s">
        <v>5</v>
      </c>
      <c r="B3" s="1">
        <v>0.79500000000000004</v>
      </c>
      <c r="C3" s="1">
        <v>12</v>
      </c>
      <c r="D3" s="2">
        <v>5500</v>
      </c>
    </row>
    <row r="4" spans="1:4">
      <c r="A4" s="1" t="s">
        <v>6</v>
      </c>
      <c r="B4" s="1">
        <v>0.748</v>
      </c>
      <c r="C4" s="1">
        <v>10</v>
      </c>
      <c r="D4" s="2">
        <v>4000</v>
      </c>
    </row>
    <row r="5" spans="1:4">
      <c r="A5" s="1" t="s">
        <v>7</v>
      </c>
      <c r="B5" s="1">
        <v>0.85799999999999998</v>
      </c>
      <c r="C5" s="1">
        <v>13.5</v>
      </c>
      <c r="D5" s="2">
        <v>42000</v>
      </c>
    </row>
    <row r="6" spans="1:4">
      <c r="A6" s="1" t="s">
        <v>8</v>
      </c>
      <c r="B6" s="1">
        <v>0.58099999999999996</v>
      </c>
      <c r="C6" s="1">
        <v>6</v>
      </c>
      <c r="D6" s="2">
        <v>3000</v>
      </c>
    </row>
    <row r="7" spans="1:4">
      <c r="A7" s="1" t="s">
        <v>9</v>
      </c>
      <c r="B7" s="1">
        <v>0.77800000000000002</v>
      </c>
      <c r="C7" s="1">
        <v>11.5</v>
      </c>
      <c r="D7" s="2">
        <v>15000</v>
      </c>
    </row>
    <row r="8" spans="1:4">
      <c r="A8" s="1" t="s">
        <v>10</v>
      </c>
      <c r="B8" s="1">
        <v>0.84499999999999997</v>
      </c>
      <c r="C8" s="1">
        <v>12.5</v>
      </c>
      <c r="D8" s="2">
        <v>10500</v>
      </c>
    </row>
    <row r="9" spans="1:4">
      <c r="A9" s="1" t="s">
        <v>11</v>
      </c>
      <c r="B9" s="1">
        <v>0.77600000000000002</v>
      </c>
      <c r="C9" s="1">
        <v>11</v>
      </c>
      <c r="D9" s="2">
        <v>4400</v>
      </c>
    </row>
    <row r="10" spans="1:4">
      <c r="A10" s="1" t="s">
        <v>12</v>
      </c>
      <c r="B10" s="1">
        <v>0.94899999999999995</v>
      </c>
      <c r="C10" s="1">
        <v>13.6</v>
      </c>
      <c r="D10" s="2">
        <v>55000</v>
      </c>
    </row>
    <row r="11" spans="1:4">
      <c r="A11" s="1" t="s">
        <v>13</v>
      </c>
      <c r="B11" s="1">
        <v>0.92200000000000004</v>
      </c>
      <c r="C11" s="1">
        <v>13</v>
      </c>
      <c r="D11" s="2">
        <v>53000</v>
      </c>
    </row>
    <row r="12" spans="1:4">
      <c r="A12" s="1" t="s">
        <v>14</v>
      </c>
      <c r="B12" s="1">
        <v>0.75600000000000001</v>
      </c>
      <c r="C12" s="1">
        <v>11</v>
      </c>
      <c r="D12" s="2">
        <v>4800</v>
      </c>
    </row>
    <row r="13" spans="1:4">
      <c r="A13" s="1" t="s">
        <v>15</v>
      </c>
      <c r="B13" s="1">
        <v>0.81399999999999995</v>
      </c>
      <c r="C13" s="1">
        <v>11.5</v>
      </c>
      <c r="D13" s="2">
        <v>28000</v>
      </c>
    </row>
    <row r="14" spans="1:4">
      <c r="A14" s="1" t="s">
        <v>16</v>
      </c>
      <c r="B14" s="1">
        <v>0.85199999999999998</v>
      </c>
      <c r="C14" s="1">
        <v>11.8</v>
      </c>
      <c r="D14" s="2">
        <v>24000</v>
      </c>
    </row>
    <row r="15" spans="1:4">
      <c r="A15" s="1" t="s">
        <v>17</v>
      </c>
      <c r="B15" s="1">
        <v>0.66100000000000003</v>
      </c>
      <c r="C15" s="1">
        <v>7.5</v>
      </c>
      <c r="D15" s="2">
        <v>2200</v>
      </c>
    </row>
    <row r="16" spans="1:4">
      <c r="A16" s="1" t="s">
        <v>18</v>
      </c>
      <c r="B16" s="1">
        <v>0.79</v>
      </c>
      <c r="C16" s="1">
        <v>12</v>
      </c>
      <c r="D16" s="2">
        <v>16500</v>
      </c>
    </row>
    <row r="17" spans="1:4">
      <c r="A17" s="1" t="s">
        <v>19</v>
      </c>
      <c r="B17" s="1">
        <v>0.81699999999999995</v>
      </c>
      <c r="C17" s="1">
        <v>12.5</v>
      </c>
      <c r="D17" s="2">
        <v>7500</v>
      </c>
    </row>
    <row r="18" spans="1:4">
      <c r="A18" s="1" t="s">
        <v>20</v>
      </c>
      <c r="B18" s="1">
        <v>0.93100000000000005</v>
      </c>
      <c r="C18" s="1">
        <v>12.8</v>
      </c>
      <c r="D18" s="2">
        <v>49000</v>
      </c>
    </row>
    <row r="19" spans="1:4">
      <c r="A19" s="1" t="s">
        <v>21</v>
      </c>
      <c r="B19" s="1">
        <v>0.72</v>
      </c>
      <c r="C19" s="1">
        <v>9</v>
      </c>
      <c r="D19" s="2">
        <v>5000</v>
      </c>
    </row>
    <row r="20" spans="1:4">
      <c r="A20" s="1" t="s">
        <v>22</v>
      </c>
      <c r="B20" s="1">
        <v>0.54500000000000004</v>
      </c>
      <c r="C20" s="1">
        <v>4.5</v>
      </c>
      <c r="D20" s="2">
        <v>1200</v>
      </c>
    </row>
    <row r="21" spans="1:4">
      <c r="A21" s="1" t="s">
        <v>23</v>
      </c>
      <c r="B21" s="1">
        <v>0.65400000000000003</v>
      </c>
      <c r="C21" s="1">
        <v>8</v>
      </c>
      <c r="D21" s="2">
        <v>3100</v>
      </c>
    </row>
    <row r="22" spans="1:4">
      <c r="A22" s="1" t="s">
        <v>24</v>
      </c>
      <c r="B22" s="1">
        <v>0.70299999999999996</v>
      </c>
      <c r="C22" s="1">
        <v>10</v>
      </c>
      <c r="D22" s="2">
        <v>3600</v>
      </c>
    </row>
    <row r="23" spans="1:4">
      <c r="A23" s="1" t="s">
        <v>25</v>
      </c>
      <c r="B23" s="1">
        <v>0.76800000000000002</v>
      </c>
      <c r="C23" s="1">
        <v>11</v>
      </c>
      <c r="D23" s="2">
        <v>6500</v>
      </c>
    </row>
    <row r="24" spans="1:4">
      <c r="A24" s="1" t="s">
        <v>26</v>
      </c>
      <c r="B24" s="1">
        <v>0.73499999999999999</v>
      </c>
      <c r="C24" s="1">
        <v>9.5</v>
      </c>
      <c r="D24" s="2">
        <v>6800</v>
      </c>
    </row>
    <row r="25" spans="1:4">
      <c r="A25" s="1" t="s">
        <v>27</v>
      </c>
      <c r="B25" s="1">
        <v>0.76500000000000001</v>
      </c>
      <c r="C25" s="1">
        <v>9.5</v>
      </c>
      <c r="D25" s="2">
        <v>7900</v>
      </c>
    </row>
    <row r="26" spans="1:4">
      <c r="A26" s="1" t="s">
        <v>28</v>
      </c>
      <c r="B26" s="1">
        <v>0.84499999999999997</v>
      </c>
      <c r="C26" s="1">
        <v>11.5</v>
      </c>
      <c r="D26" s="2">
        <v>29000</v>
      </c>
    </row>
    <row r="27" spans="1:4">
      <c r="A27" s="1" t="s">
        <v>29</v>
      </c>
      <c r="B27" s="1">
        <v>0.81599999999999995</v>
      </c>
      <c r="C27" s="1">
        <v>12</v>
      </c>
      <c r="D27" s="2">
        <v>9200</v>
      </c>
    </row>
    <row r="28" spans="1:4">
      <c r="A28" s="1" t="s">
        <v>30</v>
      </c>
      <c r="B28" s="1">
        <v>0.45200000000000001</v>
      </c>
      <c r="C28" s="1">
        <v>3.5</v>
      </c>
      <c r="D28" s="1">
        <v>800</v>
      </c>
    </row>
    <row r="29" spans="1:4">
      <c r="A29" s="1" t="s">
        <v>31</v>
      </c>
      <c r="B29" s="1">
        <v>0.433</v>
      </c>
      <c r="C29" s="1">
        <v>2.5</v>
      </c>
      <c r="D29" s="1">
        <v>300</v>
      </c>
    </row>
    <row r="30" spans="1:4">
      <c r="A30" s="1" t="s">
        <v>32</v>
      </c>
      <c r="B30" s="1">
        <v>0.65400000000000003</v>
      </c>
      <c r="C30" s="1">
        <v>8</v>
      </c>
      <c r="D30" s="2">
        <v>3300</v>
      </c>
    </row>
    <row r="31" spans="1:4">
      <c r="A31" s="1" t="s">
        <v>33</v>
      </c>
      <c r="B31" s="1">
        <v>0.56299999999999994</v>
      </c>
      <c r="C31" s="1">
        <v>6</v>
      </c>
      <c r="D31" s="2">
        <v>1500</v>
      </c>
    </row>
    <row r="32" spans="1:4">
      <c r="A32" s="1" t="s">
        <v>34</v>
      </c>
      <c r="B32" s="1">
        <v>0.92900000000000005</v>
      </c>
      <c r="C32" s="1">
        <v>13.2</v>
      </c>
      <c r="D32" s="2">
        <v>46000</v>
      </c>
    </row>
    <row r="33" spans="1:4">
      <c r="A33" s="1" t="s">
        <v>35</v>
      </c>
      <c r="B33" s="1">
        <v>0.39700000000000002</v>
      </c>
      <c r="C33" s="1">
        <v>2.5</v>
      </c>
      <c r="D33" s="1">
        <v>400</v>
      </c>
    </row>
    <row r="34" spans="1:4">
      <c r="A34" s="1" t="s">
        <v>36</v>
      </c>
      <c r="B34" s="1">
        <v>0.40100000000000002</v>
      </c>
      <c r="C34" s="1">
        <v>3</v>
      </c>
      <c r="D34" s="1">
        <v>700</v>
      </c>
    </row>
    <row r="35" spans="1:4">
      <c r="A35" s="1" t="s">
        <v>37</v>
      </c>
      <c r="B35" s="1">
        <v>0.85099999999999998</v>
      </c>
      <c r="C35" s="1">
        <v>11.8</v>
      </c>
      <c r="D35" s="2">
        <v>14000</v>
      </c>
    </row>
    <row r="36" spans="1:4">
      <c r="A36" s="1" t="s">
        <v>38</v>
      </c>
      <c r="B36" s="1">
        <v>0.76100000000000001</v>
      </c>
      <c r="C36" s="1">
        <v>8.4</v>
      </c>
      <c r="D36" s="2">
        <v>10200</v>
      </c>
    </row>
    <row r="37" spans="1:4">
      <c r="A37" s="1" t="s">
        <v>39</v>
      </c>
      <c r="B37" s="1">
        <v>0.76700000000000002</v>
      </c>
      <c r="C37" s="1">
        <v>10.5</v>
      </c>
      <c r="D37" s="2">
        <v>6700</v>
      </c>
    </row>
    <row r="38" spans="1:4">
      <c r="A38" s="1" t="s">
        <v>40</v>
      </c>
      <c r="B38" s="1">
        <v>0.53800000000000003</v>
      </c>
      <c r="C38" s="1">
        <v>5</v>
      </c>
      <c r="D38" s="2">
        <v>1200</v>
      </c>
    </row>
    <row r="39" spans="1:4">
      <c r="A39" s="1" t="s">
        <v>41</v>
      </c>
      <c r="B39" s="1">
        <v>0.60099999999999998</v>
      </c>
      <c r="C39" s="1">
        <v>6</v>
      </c>
      <c r="D39" s="2">
        <v>2400</v>
      </c>
    </row>
    <row r="40" spans="1:4">
      <c r="A40" s="1" t="s">
        <v>42</v>
      </c>
      <c r="B40" s="1">
        <v>0.57399999999999995</v>
      </c>
      <c r="C40" s="1">
        <v>4</v>
      </c>
      <c r="D40" s="1">
        <v>500</v>
      </c>
    </row>
    <row r="41" spans="1:4">
      <c r="A41" s="1" t="s">
        <v>43</v>
      </c>
      <c r="B41" s="1">
        <v>0.81</v>
      </c>
      <c r="C41" s="1">
        <v>11.5</v>
      </c>
      <c r="D41" s="2">
        <v>12000</v>
      </c>
    </row>
    <row r="42" spans="1:4">
      <c r="A42" s="1" t="s">
        <v>44</v>
      </c>
      <c r="B42" s="1">
        <v>0.54500000000000004</v>
      </c>
      <c r="C42" s="1">
        <v>6</v>
      </c>
      <c r="D42" s="2">
        <v>1800</v>
      </c>
    </row>
    <row r="43" spans="1:4">
      <c r="A43" s="1" t="s">
        <v>45</v>
      </c>
      <c r="B43" s="1">
        <v>0.85099999999999998</v>
      </c>
      <c r="C43" s="1">
        <v>12.5</v>
      </c>
      <c r="D43" s="2">
        <v>14000</v>
      </c>
    </row>
    <row r="44" spans="1:4">
      <c r="A44" s="1" t="s">
        <v>46</v>
      </c>
      <c r="B44" s="1">
        <v>0.78300000000000003</v>
      </c>
      <c r="C44" s="1">
        <v>10.5</v>
      </c>
      <c r="D44" s="2">
        <v>8500</v>
      </c>
    </row>
    <row r="45" spans="1:4">
      <c r="A45" s="1" t="s">
        <v>47</v>
      </c>
      <c r="B45" s="1">
        <v>0.88700000000000001</v>
      </c>
      <c r="C45" s="1">
        <v>12.5</v>
      </c>
      <c r="D45" s="2">
        <v>28000</v>
      </c>
    </row>
    <row r="46" spans="1:4">
      <c r="A46" s="1" t="s">
        <v>48</v>
      </c>
      <c r="B46" s="1">
        <v>0.9</v>
      </c>
      <c r="C46" s="1">
        <v>13</v>
      </c>
      <c r="D46" s="2">
        <v>22000</v>
      </c>
    </row>
    <row r="47" spans="1:4">
      <c r="A47" s="1" t="s">
        <v>49</v>
      </c>
      <c r="B47" s="1">
        <v>0.94</v>
      </c>
      <c r="C47" s="1">
        <v>13</v>
      </c>
      <c r="D47" s="2">
        <v>58000</v>
      </c>
    </row>
    <row r="48" spans="1:4">
      <c r="A48" s="1" t="s">
        <v>50</v>
      </c>
      <c r="B48" s="1">
        <v>0.54100000000000004</v>
      </c>
      <c r="C48" s="1">
        <v>6</v>
      </c>
      <c r="D48" s="2">
        <v>2000</v>
      </c>
    </row>
    <row r="49" spans="1:4">
      <c r="A49" s="1" t="s">
        <v>51</v>
      </c>
      <c r="B49" s="1">
        <v>0.72499999999999998</v>
      </c>
      <c r="C49" s="1">
        <v>10</v>
      </c>
      <c r="D49" s="2">
        <v>6500</v>
      </c>
    </row>
    <row r="50" spans="1:4">
      <c r="A50" s="1" t="s">
        <v>52</v>
      </c>
      <c r="B50" s="1">
        <v>0.745</v>
      </c>
      <c r="C50" s="1">
        <v>9.5</v>
      </c>
      <c r="D50" s="2">
        <v>8000</v>
      </c>
    </row>
    <row r="51" spans="1:4">
      <c r="A51" s="1" t="s">
        <v>53</v>
      </c>
      <c r="B51" s="1">
        <v>0.75900000000000001</v>
      </c>
      <c r="C51" s="1">
        <v>9.5</v>
      </c>
      <c r="D51" s="2">
        <v>6000</v>
      </c>
    </row>
    <row r="52" spans="1:4">
      <c r="A52" s="1" t="s">
        <v>54</v>
      </c>
      <c r="B52" s="1">
        <v>0.70699999999999996</v>
      </c>
      <c r="C52" s="1">
        <v>8</v>
      </c>
      <c r="D52" s="2">
        <v>3200</v>
      </c>
    </row>
    <row r="53" spans="1:4">
      <c r="A53" s="1" t="s">
        <v>55</v>
      </c>
      <c r="B53" s="1">
        <v>0.67300000000000004</v>
      </c>
      <c r="C53" s="1">
        <v>8.5</v>
      </c>
      <c r="D53" s="2">
        <v>4200</v>
      </c>
    </row>
    <row r="54" spans="1:4">
      <c r="A54" s="1" t="s">
        <v>56</v>
      </c>
      <c r="B54" s="1">
        <v>0.59599999999999997</v>
      </c>
      <c r="C54" s="1">
        <v>7</v>
      </c>
      <c r="D54" s="2">
        <v>8000</v>
      </c>
    </row>
    <row r="55" spans="1:4">
      <c r="A55" s="1" t="s">
        <v>57</v>
      </c>
      <c r="B55" s="1">
        <v>0.45200000000000001</v>
      </c>
      <c r="C55" s="1">
        <v>4</v>
      </c>
      <c r="D55" s="1">
        <v>700</v>
      </c>
    </row>
    <row r="56" spans="1:4">
      <c r="A56" s="1" t="s">
        <v>58</v>
      </c>
      <c r="B56" s="1">
        <v>0.88200000000000001</v>
      </c>
      <c r="C56" s="1">
        <v>12.5</v>
      </c>
      <c r="D56" s="2">
        <v>23000</v>
      </c>
    </row>
    <row r="57" spans="1:4">
      <c r="A57" s="1" t="s">
        <v>59</v>
      </c>
      <c r="B57" s="1">
        <v>0.60799999999999998</v>
      </c>
      <c r="C57" s="1">
        <v>8</v>
      </c>
      <c r="D57" s="2">
        <v>4500</v>
      </c>
    </row>
    <row r="58" spans="1:4">
      <c r="A58" s="1" t="s">
        <v>60</v>
      </c>
      <c r="B58" s="1">
        <v>0.48299999999999998</v>
      </c>
      <c r="C58" s="1">
        <v>4.5</v>
      </c>
      <c r="D58" s="1">
        <v>800</v>
      </c>
    </row>
    <row r="59" spans="1:4">
      <c r="A59" s="1" t="s">
        <v>61</v>
      </c>
      <c r="B59" s="1">
        <v>0.74299999999999999</v>
      </c>
      <c r="C59" s="1">
        <v>9.5</v>
      </c>
      <c r="D59" s="2">
        <v>6000</v>
      </c>
    </row>
    <row r="60" spans="1:4">
      <c r="A60" s="1" t="s">
        <v>62</v>
      </c>
      <c r="B60" s="1">
        <v>0.93799999999999994</v>
      </c>
      <c r="C60" s="1">
        <v>13.9</v>
      </c>
      <c r="D60" s="2">
        <v>49000</v>
      </c>
    </row>
    <row r="61" spans="1:4">
      <c r="A61" s="1" t="s">
        <v>63</v>
      </c>
      <c r="B61" s="1">
        <v>0.90100000000000002</v>
      </c>
      <c r="C61" s="1">
        <v>12.9</v>
      </c>
      <c r="D61" s="2">
        <v>42000</v>
      </c>
    </row>
    <row r="62" spans="1:4">
      <c r="A62" s="1" t="s">
        <v>64</v>
      </c>
      <c r="B62" s="1">
        <v>0.70199999999999996</v>
      </c>
      <c r="C62" s="1">
        <v>8.5</v>
      </c>
      <c r="D62" s="2">
        <v>17000</v>
      </c>
    </row>
    <row r="63" spans="1:4">
      <c r="A63" s="1" t="s">
        <v>65</v>
      </c>
      <c r="B63" s="1">
        <v>0.48199999999999998</v>
      </c>
      <c r="C63" s="1">
        <v>4.5</v>
      </c>
      <c r="D63" s="1">
        <v>800</v>
      </c>
    </row>
    <row r="64" spans="1:4">
      <c r="A64" s="1" t="s">
        <v>66</v>
      </c>
      <c r="B64" s="1">
        <v>0.78600000000000003</v>
      </c>
      <c r="C64" s="1">
        <v>11</v>
      </c>
      <c r="D64" s="2">
        <v>4200</v>
      </c>
    </row>
    <row r="65" spans="1:4">
      <c r="A65" s="1" t="s">
        <v>67</v>
      </c>
      <c r="B65" s="1">
        <v>0.94199999999999995</v>
      </c>
      <c r="C65" s="1">
        <v>13.4</v>
      </c>
      <c r="D65" s="2">
        <v>46000</v>
      </c>
    </row>
    <row r="66" spans="1:4">
      <c r="A66" s="1" t="s">
        <v>68</v>
      </c>
      <c r="B66" s="1">
        <v>0.61099999999999999</v>
      </c>
      <c r="C66" s="1">
        <v>7</v>
      </c>
      <c r="D66" s="2">
        <v>2400</v>
      </c>
    </row>
    <row r="67" spans="1:4">
      <c r="A67" s="1" t="s">
        <v>69</v>
      </c>
      <c r="B67" s="1">
        <v>0.88800000000000001</v>
      </c>
      <c r="C67" s="1">
        <v>12.7</v>
      </c>
      <c r="D67" s="2">
        <v>20000</v>
      </c>
    </row>
    <row r="68" spans="1:4">
      <c r="A68" s="1" t="s">
        <v>70</v>
      </c>
      <c r="B68" s="1">
        <v>0.78</v>
      </c>
      <c r="C68" s="1">
        <v>11</v>
      </c>
      <c r="D68" s="2">
        <v>9000</v>
      </c>
    </row>
    <row r="69" spans="1:4">
      <c r="A69" s="1" t="s">
        <v>71</v>
      </c>
      <c r="B69" s="1">
        <v>0.65100000000000002</v>
      </c>
      <c r="C69" s="1">
        <v>7.5</v>
      </c>
      <c r="D69" s="2">
        <v>4500</v>
      </c>
    </row>
    <row r="70" spans="1:4">
      <c r="A70" s="1" t="s">
        <v>72</v>
      </c>
      <c r="B70" s="1">
        <v>0.46600000000000003</v>
      </c>
      <c r="C70" s="1">
        <v>3.5</v>
      </c>
      <c r="D70" s="1">
        <v>900</v>
      </c>
    </row>
    <row r="71" spans="1:4">
      <c r="A71" s="1" t="s">
        <v>73</v>
      </c>
      <c r="B71" s="1">
        <v>0.48</v>
      </c>
      <c r="C71" s="1">
        <v>3</v>
      </c>
      <c r="D71" s="1">
        <v>700</v>
      </c>
    </row>
    <row r="72" spans="1:4">
      <c r="A72" s="1" t="s">
        <v>74</v>
      </c>
      <c r="B72" s="1">
        <v>0.67</v>
      </c>
      <c r="C72" s="1">
        <v>9</v>
      </c>
      <c r="D72" s="2">
        <v>6000</v>
      </c>
    </row>
    <row r="73" spans="1:4">
      <c r="A73" s="1" t="s">
        <v>75</v>
      </c>
      <c r="B73" s="1">
        <v>0.51</v>
      </c>
      <c r="C73" s="1">
        <v>3.5</v>
      </c>
      <c r="D73" s="1">
        <v>800</v>
      </c>
    </row>
    <row r="74" spans="1:4">
      <c r="A74" s="1" t="s">
        <v>76</v>
      </c>
      <c r="B74" s="1">
        <v>0.63400000000000001</v>
      </c>
      <c r="C74" s="1">
        <v>7</v>
      </c>
      <c r="D74" s="2">
        <v>2900</v>
      </c>
    </row>
    <row r="75" spans="1:4">
      <c r="A75" s="1" t="s">
        <v>77</v>
      </c>
      <c r="B75" s="1">
        <v>0.85399999999999998</v>
      </c>
      <c r="C75" s="1">
        <v>12.4</v>
      </c>
      <c r="D75" s="2">
        <v>16000</v>
      </c>
    </row>
    <row r="76" spans="1:4">
      <c r="A76" s="1" t="s">
        <v>78</v>
      </c>
      <c r="B76" s="1">
        <v>0.94899999999999995</v>
      </c>
      <c r="C76" s="1">
        <v>13.8</v>
      </c>
      <c r="D76" s="2">
        <v>54000</v>
      </c>
    </row>
    <row r="77" spans="1:4">
      <c r="A77" s="1" t="s">
        <v>79</v>
      </c>
      <c r="B77" s="1">
        <v>0.64500000000000002</v>
      </c>
      <c r="C77" s="1">
        <v>6.5</v>
      </c>
      <c r="D77" s="2">
        <v>2200</v>
      </c>
    </row>
    <row r="78" spans="1:4">
      <c r="A78" s="1" t="s">
        <v>80</v>
      </c>
      <c r="B78" s="1">
        <v>0.71799999999999997</v>
      </c>
      <c r="C78" s="1">
        <v>8</v>
      </c>
      <c r="D78" s="2">
        <v>4200</v>
      </c>
    </row>
    <row r="79" spans="1:4">
      <c r="A79" s="1" t="s">
        <v>81</v>
      </c>
      <c r="B79" s="1">
        <v>0.78300000000000003</v>
      </c>
      <c r="C79" s="1">
        <v>9.5</v>
      </c>
      <c r="D79" s="2">
        <v>5500</v>
      </c>
    </row>
    <row r="80" spans="1:4">
      <c r="A80" s="1" t="s">
        <v>82</v>
      </c>
      <c r="B80" s="1">
        <v>0.67400000000000004</v>
      </c>
      <c r="C80" s="1">
        <v>9</v>
      </c>
      <c r="D80" s="2">
        <v>5000</v>
      </c>
    </row>
    <row r="81" spans="1:4">
      <c r="A81" s="1" t="s">
        <v>83</v>
      </c>
      <c r="B81" s="1">
        <v>0.95499999999999996</v>
      </c>
      <c r="C81" s="1">
        <v>13.6</v>
      </c>
      <c r="D81" s="2">
        <v>78000</v>
      </c>
    </row>
    <row r="82" spans="1:4">
      <c r="A82" s="1" t="s">
        <v>84</v>
      </c>
      <c r="B82" s="1">
        <v>0.91900000000000004</v>
      </c>
      <c r="C82" s="1">
        <v>12.7</v>
      </c>
      <c r="D82" s="2">
        <v>44000</v>
      </c>
    </row>
    <row r="83" spans="1:4">
      <c r="A83" s="1" t="s">
        <v>85</v>
      </c>
      <c r="B83" s="1">
        <v>0.89200000000000002</v>
      </c>
      <c r="C83" s="1">
        <v>12.7</v>
      </c>
      <c r="D83" s="2">
        <v>34000</v>
      </c>
    </row>
    <row r="84" spans="1:4">
      <c r="A84" s="1" t="s">
        <v>86</v>
      </c>
      <c r="B84" s="1">
        <v>0.72599999999999998</v>
      </c>
      <c r="C84" s="1">
        <v>10</v>
      </c>
      <c r="D84" s="2">
        <v>5300</v>
      </c>
    </row>
    <row r="85" spans="1:4">
      <c r="A85" s="1" t="s">
        <v>87</v>
      </c>
      <c r="B85" s="1">
        <v>0.92500000000000004</v>
      </c>
      <c r="C85" s="1">
        <v>12.6</v>
      </c>
      <c r="D85" s="2">
        <v>40000</v>
      </c>
    </row>
    <row r="86" spans="1:4">
      <c r="A86" s="1" t="s">
        <v>88</v>
      </c>
      <c r="B86" s="1">
        <v>0.74299999999999999</v>
      </c>
      <c r="C86" s="1">
        <v>10</v>
      </c>
      <c r="D86" s="2">
        <v>4200</v>
      </c>
    </row>
    <row r="87" spans="1:4">
      <c r="A87" s="1" t="s">
        <v>89</v>
      </c>
      <c r="B87" s="1">
        <v>0.81699999999999995</v>
      </c>
      <c r="C87" s="1">
        <v>11</v>
      </c>
      <c r="D87" s="2">
        <v>9000</v>
      </c>
    </row>
    <row r="88" spans="1:4">
      <c r="A88" s="1" t="s">
        <v>90</v>
      </c>
      <c r="B88" s="1">
        <v>0.60099999999999998</v>
      </c>
      <c r="C88" s="1">
        <v>6.5</v>
      </c>
      <c r="D88" s="2">
        <v>1900</v>
      </c>
    </row>
    <row r="89" spans="1:4">
      <c r="A89" s="1" t="s">
        <v>91</v>
      </c>
      <c r="B89" s="1">
        <v>0.61799999999999999</v>
      </c>
      <c r="C89" s="1">
        <v>7</v>
      </c>
      <c r="D89" s="2">
        <v>1700</v>
      </c>
    </row>
    <row r="90" spans="1:4">
      <c r="A90" s="1" t="s">
        <v>92</v>
      </c>
      <c r="B90" s="1">
        <v>0.73</v>
      </c>
      <c r="C90" s="1">
        <v>10</v>
      </c>
      <c r="D90" s="2">
        <v>1800</v>
      </c>
    </row>
    <row r="91" spans="1:4">
      <c r="A91" s="1" t="s">
        <v>93</v>
      </c>
      <c r="B91" s="1">
        <v>0.91600000000000004</v>
      </c>
      <c r="C91" s="1">
        <v>12.6</v>
      </c>
      <c r="D91" s="2">
        <v>33000</v>
      </c>
    </row>
    <row r="92" spans="1:4">
      <c r="A92" s="1" t="s">
        <v>94</v>
      </c>
      <c r="B92" s="1">
        <v>0.80600000000000005</v>
      </c>
      <c r="C92" s="1">
        <v>11</v>
      </c>
      <c r="D92" s="2">
        <v>29000</v>
      </c>
    </row>
    <row r="93" spans="1:4">
      <c r="A93" s="1" t="s">
        <v>95</v>
      </c>
      <c r="B93" s="1">
        <v>0.69699999999999995</v>
      </c>
      <c r="C93" s="1">
        <v>9</v>
      </c>
      <c r="D93" s="2">
        <v>1200</v>
      </c>
    </row>
    <row r="94" spans="1:4">
      <c r="A94" s="1" t="s">
        <v>96</v>
      </c>
      <c r="B94" s="1">
        <v>0.60199999999999998</v>
      </c>
      <c r="C94" s="1">
        <v>7</v>
      </c>
      <c r="D94" s="2">
        <v>2400</v>
      </c>
    </row>
    <row r="95" spans="1:4">
      <c r="A95" s="1" t="s">
        <v>97</v>
      </c>
      <c r="B95" s="1">
        <v>0.86599999999999999</v>
      </c>
      <c r="C95" s="1">
        <v>12</v>
      </c>
      <c r="D95" s="2">
        <v>15000</v>
      </c>
    </row>
    <row r="96" spans="1:4">
      <c r="A96" s="1" t="s">
        <v>98</v>
      </c>
      <c r="B96" s="1">
        <v>0.74399999999999999</v>
      </c>
      <c r="C96" s="1">
        <v>11</v>
      </c>
      <c r="D96" s="2">
        <v>6500</v>
      </c>
    </row>
    <row r="97" spans="1:4">
      <c r="A97" s="1" t="s">
        <v>99</v>
      </c>
      <c r="B97" s="1">
        <v>0.51300000000000001</v>
      </c>
      <c r="C97" s="1">
        <v>6</v>
      </c>
      <c r="D97" s="2">
        <v>1500</v>
      </c>
    </row>
    <row r="98" spans="1:4">
      <c r="A98" s="1" t="s">
        <v>100</v>
      </c>
      <c r="B98" s="1">
        <v>0.48</v>
      </c>
      <c r="C98" s="1">
        <v>4</v>
      </c>
      <c r="D98" s="1">
        <v>700</v>
      </c>
    </row>
    <row r="99" spans="1:4">
      <c r="A99" s="1" t="s">
        <v>101</v>
      </c>
      <c r="B99" s="1">
        <v>0.72399999999999998</v>
      </c>
      <c r="C99" s="1">
        <v>9</v>
      </c>
      <c r="D99" s="2">
        <v>9000</v>
      </c>
    </row>
    <row r="100" spans="1:4">
      <c r="A100" s="1" t="s">
        <v>102</v>
      </c>
      <c r="B100" s="1">
        <v>0.91700000000000004</v>
      </c>
      <c r="C100" s="1">
        <v>12.8</v>
      </c>
      <c r="D100" s="2">
        <v>140000</v>
      </c>
    </row>
    <row r="101" spans="1:4">
      <c r="A101" s="1" t="s">
        <v>103</v>
      </c>
      <c r="B101" s="1">
        <v>0.88500000000000001</v>
      </c>
      <c r="C101" s="1">
        <v>12.6</v>
      </c>
      <c r="D101" s="2">
        <v>18000</v>
      </c>
    </row>
    <row r="102" spans="1:4">
      <c r="A102" s="1" t="s">
        <v>104</v>
      </c>
      <c r="B102" s="1">
        <v>0.91600000000000004</v>
      </c>
      <c r="C102" s="1">
        <v>13</v>
      </c>
      <c r="D102" s="2">
        <v>78000</v>
      </c>
    </row>
    <row r="103" spans="1:4">
      <c r="A103" s="1" t="s">
        <v>105</v>
      </c>
      <c r="B103" s="1">
        <v>0.51900000000000002</v>
      </c>
      <c r="C103" s="1">
        <v>4.5</v>
      </c>
      <c r="D103" s="1">
        <v>500</v>
      </c>
    </row>
    <row r="104" spans="1:4">
      <c r="A104" s="1" t="s">
        <v>106</v>
      </c>
      <c r="B104" s="1">
        <v>0.48299999999999998</v>
      </c>
      <c r="C104" s="1">
        <v>4</v>
      </c>
      <c r="D104" s="1">
        <v>400</v>
      </c>
    </row>
    <row r="105" spans="1:4">
      <c r="A105" s="1" t="s">
        <v>107</v>
      </c>
      <c r="B105" s="1">
        <v>0.80400000000000005</v>
      </c>
      <c r="C105" s="1">
        <v>10.5</v>
      </c>
      <c r="D105" s="2">
        <v>11000</v>
      </c>
    </row>
    <row r="106" spans="1:4">
      <c r="A106" s="1" t="s">
        <v>108</v>
      </c>
      <c r="B106" s="1">
        <v>0.71899999999999997</v>
      </c>
      <c r="C106" s="1">
        <v>9.5</v>
      </c>
      <c r="D106" s="2">
        <v>12000</v>
      </c>
    </row>
    <row r="107" spans="1:4">
      <c r="A107" s="1" t="s">
        <v>109</v>
      </c>
      <c r="B107" s="1">
        <v>0.42699999999999999</v>
      </c>
      <c r="C107" s="1">
        <v>3.5</v>
      </c>
      <c r="D107" s="1">
        <v>900</v>
      </c>
    </row>
    <row r="108" spans="1:4">
      <c r="A108" s="1" t="s">
        <v>110</v>
      </c>
      <c r="B108" s="1">
        <v>0.88800000000000001</v>
      </c>
      <c r="C108" s="1">
        <v>12.5</v>
      </c>
      <c r="D108" s="2">
        <v>27000</v>
      </c>
    </row>
    <row r="109" spans="1:4">
      <c r="A109" s="1" t="s">
        <v>111</v>
      </c>
      <c r="B109" s="1">
        <v>0.70299999999999996</v>
      </c>
      <c r="C109" s="1">
        <v>9</v>
      </c>
      <c r="D109" s="2">
        <v>3500</v>
      </c>
    </row>
    <row r="110" spans="1:4">
      <c r="A110" s="1" t="s">
        <v>112</v>
      </c>
      <c r="B110" s="1">
        <v>0.51800000000000002</v>
      </c>
      <c r="C110" s="1">
        <v>5.5</v>
      </c>
      <c r="D110" s="2">
        <v>1500</v>
      </c>
    </row>
    <row r="111" spans="1:4">
      <c r="A111" s="1" t="s">
        <v>113</v>
      </c>
      <c r="B111" s="1">
        <v>0.80400000000000005</v>
      </c>
      <c r="C111" s="1">
        <v>11.5</v>
      </c>
      <c r="D111" s="2">
        <v>12000</v>
      </c>
    </row>
    <row r="112" spans="1:4">
      <c r="A112" s="1" t="s">
        <v>114</v>
      </c>
      <c r="B112" s="1">
        <v>0.77900000000000003</v>
      </c>
      <c r="C112" s="1">
        <v>9</v>
      </c>
      <c r="D112" s="2">
        <v>9500</v>
      </c>
    </row>
    <row r="113" spans="1:4">
      <c r="A113" s="1" t="s">
        <v>115</v>
      </c>
      <c r="B113" s="1">
        <v>0.628</v>
      </c>
      <c r="C113" s="1">
        <v>8</v>
      </c>
      <c r="D113" s="2">
        <v>3000</v>
      </c>
    </row>
    <row r="114" spans="1:4">
      <c r="A114" s="1" t="s">
        <v>116</v>
      </c>
      <c r="B114" s="1">
        <v>0.71099999999999997</v>
      </c>
      <c r="C114" s="1">
        <v>10.5</v>
      </c>
      <c r="D114" s="2">
        <v>2800</v>
      </c>
    </row>
    <row r="115" spans="1:4">
      <c r="A115" s="1" t="s">
        <v>117</v>
      </c>
      <c r="B115" s="1">
        <v>0.95699999999999996</v>
      </c>
      <c r="C115" s="1">
        <v>13</v>
      </c>
      <c r="D115" s="2">
        <v>180000</v>
      </c>
    </row>
    <row r="116" spans="1:4">
      <c r="A116" s="1" t="s">
        <v>118</v>
      </c>
      <c r="B116" s="1">
        <v>0.73699999999999999</v>
      </c>
      <c r="C116" s="1">
        <v>9.5</v>
      </c>
      <c r="D116" s="2">
        <v>4000</v>
      </c>
    </row>
    <row r="117" spans="1:4">
      <c r="A117" s="1" t="s">
        <v>119</v>
      </c>
      <c r="B117" s="1">
        <v>0.82899999999999996</v>
      </c>
      <c r="C117" s="1">
        <v>11.5</v>
      </c>
      <c r="D117" s="2">
        <v>8500</v>
      </c>
    </row>
    <row r="118" spans="1:4">
      <c r="A118" s="1" t="s">
        <v>120</v>
      </c>
      <c r="B118" s="1">
        <v>0.68600000000000005</v>
      </c>
      <c r="C118" s="1">
        <v>8</v>
      </c>
      <c r="D118" s="2">
        <v>3200</v>
      </c>
    </row>
    <row r="119" spans="1:4">
      <c r="A119" s="1" t="s">
        <v>121</v>
      </c>
      <c r="B119" s="1">
        <v>0.45600000000000002</v>
      </c>
      <c r="C119" s="1">
        <v>3.5</v>
      </c>
      <c r="D119" s="1">
        <v>500</v>
      </c>
    </row>
    <row r="120" spans="1:4">
      <c r="A120" s="1" t="s">
        <v>122</v>
      </c>
      <c r="B120" s="1">
        <v>0.58299999999999996</v>
      </c>
      <c r="C120" s="1">
        <v>5.5</v>
      </c>
      <c r="D120" s="2">
        <v>1200</v>
      </c>
    </row>
    <row r="121" spans="1:4">
      <c r="A121" s="1" t="s">
        <v>123</v>
      </c>
      <c r="B121" s="1">
        <v>0.64600000000000002</v>
      </c>
      <c r="C121" s="1">
        <v>8</v>
      </c>
      <c r="D121" s="2">
        <v>5500</v>
      </c>
    </row>
    <row r="122" spans="1:4">
      <c r="A122" s="1" t="s">
        <v>124</v>
      </c>
      <c r="B122" s="1">
        <v>0.71</v>
      </c>
      <c r="C122" s="1">
        <v>9</v>
      </c>
      <c r="D122" s="2">
        <v>10000</v>
      </c>
    </row>
    <row r="123" spans="1:4">
      <c r="A123" s="1" t="s">
        <v>125</v>
      </c>
      <c r="B123" s="1">
        <v>0.60199999999999998</v>
      </c>
      <c r="C123" s="1">
        <v>6</v>
      </c>
      <c r="D123" s="2">
        <v>1200</v>
      </c>
    </row>
    <row r="124" spans="1:4">
      <c r="A124" s="1" t="s">
        <v>126</v>
      </c>
      <c r="B124" s="1">
        <v>0.94399999999999995</v>
      </c>
      <c r="C124" s="1">
        <v>12.6</v>
      </c>
      <c r="D124" s="2">
        <v>53000</v>
      </c>
    </row>
    <row r="125" spans="1:4">
      <c r="A125" s="1" t="s">
        <v>127</v>
      </c>
      <c r="B125" s="1">
        <v>0.92100000000000004</v>
      </c>
      <c r="C125" s="1">
        <v>13.1</v>
      </c>
      <c r="D125" s="2">
        <v>42000</v>
      </c>
    </row>
    <row r="126" spans="1:4">
      <c r="A126" s="1" t="s">
        <v>128</v>
      </c>
      <c r="B126" s="1">
        <v>0.65100000000000002</v>
      </c>
      <c r="C126" s="1">
        <v>7.5</v>
      </c>
      <c r="D126" s="2">
        <v>2200</v>
      </c>
    </row>
    <row r="127" spans="1:4">
      <c r="A127" s="1" t="s">
        <v>129</v>
      </c>
      <c r="B127" s="1">
        <v>0.39400000000000002</v>
      </c>
      <c r="C127" s="1">
        <v>2.5</v>
      </c>
      <c r="D127" s="1">
        <v>400</v>
      </c>
    </row>
    <row r="128" spans="1:4">
      <c r="A128" s="1" t="s">
        <v>130</v>
      </c>
      <c r="B128" s="1">
        <v>0.53900000000000003</v>
      </c>
      <c r="C128" s="1">
        <v>6</v>
      </c>
      <c r="D128" s="2">
        <v>2200</v>
      </c>
    </row>
    <row r="129" spans="1:4">
      <c r="A129" s="1" t="s">
        <v>131</v>
      </c>
      <c r="B129" s="1">
        <v>0.96099999999999997</v>
      </c>
      <c r="C129" s="1">
        <v>13.1</v>
      </c>
      <c r="D129" s="2">
        <v>69000</v>
      </c>
    </row>
    <row r="130" spans="1:4">
      <c r="A130" s="1" t="s">
        <v>132</v>
      </c>
      <c r="B130" s="1">
        <v>0.82099999999999995</v>
      </c>
      <c r="C130" s="1">
        <v>10.5</v>
      </c>
      <c r="D130" s="2">
        <v>18000</v>
      </c>
    </row>
    <row r="131" spans="1:4">
      <c r="A131" s="1" t="s">
        <v>133</v>
      </c>
      <c r="B131" s="1">
        <v>0.55700000000000005</v>
      </c>
      <c r="C131" s="1">
        <v>5.5</v>
      </c>
      <c r="D131" s="2">
        <v>1500</v>
      </c>
    </row>
    <row r="132" spans="1:4">
      <c r="A132" s="1" t="s">
        <v>134</v>
      </c>
      <c r="B132" s="1">
        <v>0.80100000000000005</v>
      </c>
      <c r="C132" s="1">
        <v>10.5</v>
      </c>
      <c r="D132" s="2">
        <v>14000</v>
      </c>
    </row>
    <row r="133" spans="1:4">
      <c r="A133" s="1" t="s">
        <v>135</v>
      </c>
      <c r="B133" s="1">
        <v>0.81699999999999995</v>
      </c>
      <c r="C133" s="1">
        <v>10.5</v>
      </c>
      <c r="D133" s="2">
        <v>15000</v>
      </c>
    </row>
    <row r="134" spans="1:4">
      <c r="A134" s="1" t="s">
        <v>136</v>
      </c>
      <c r="B134" s="1">
        <v>0.54400000000000004</v>
      </c>
      <c r="C134" s="1">
        <v>6</v>
      </c>
      <c r="D134" s="2">
        <v>2500</v>
      </c>
    </row>
    <row r="135" spans="1:4">
      <c r="A135" s="1" t="s">
        <v>137</v>
      </c>
      <c r="B135" s="1">
        <v>0.72399999999999998</v>
      </c>
      <c r="C135" s="1">
        <v>9</v>
      </c>
      <c r="D135" s="2">
        <v>4500</v>
      </c>
    </row>
    <row r="136" spans="1:4">
      <c r="A136" s="1" t="s">
        <v>138</v>
      </c>
      <c r="B136" s="1">
        <v>0.77700000000000002</v>
      </c>
      <c r="C136" s="1">
        <v>10</v>
      </c>
      <c r="D136" s="2">
        <v>6800</v>
      </c>
    </row>
    <row r="137" spans="1:4">
      <c r="A137" s="1" t="s">
        <v>139</v>
      </c>
      <c r="B137" s="1">
        <v>0.71799999999999997</v>
      </c>
      <c r="C137" s="1">
        <v>8.5</v>
      </c>
      <c r="D137" s="2">
        <v>3500</v>
      </c>
    </row>
    <row r="138" spans="1:4">
      <c r="A138" s="1" t="s">
        <v>140</v>
      </c>
      <c r="B138" s="1">
        <v>0.88</v>
      </c>
      <c r="C138" s="1">
        <v>12.4</v>
      </c>
      <c r="D138" s="2">
        <v>16500</v>
      </c>
    </row>
    <row r="139" spans="1:4">
      <c r="A139" s="1" t="s">
        <v>141</v>
      </c>
      <c r="B139" s="1">
        <v>0.86399999999999999</v>
      </c>
      <c r="C139" s="1">
        <v>12.6</v>
      </c>
      <c r="D139" s="2">
        <v>23000</v>
      </c>
    </row>
    <row r="140" spans="1:4">
      <c r="A140" s="1" t="s">
        <v>142</v>
      </c>
      <c r="B140" s="1">
        <v>0.84799999999999998</v>
      </c>
      <c r="C140" s="1">
        <v>11</v>
      </c>
      <c r="D140" s="2">
        <v>63000</v>
      </c>
    </row>
    <row r="141" spans="1:4">
      <c r="A141" s="1" t="s">
        <v>143</v>
      </c>
      <c r="B141" s="1">
        <v>0.82799999999999996</v>
      </c>
      <c r="C141" s="1">
        <v>11.8</v>
      </c>
      <c r="D141" s="2">
        <v>11000</v>
      </c>
    </row>
    <row r="142" spans="1:4">
      <c r="A142" s="1" t="s">
        <v>144</v>
      </c>
      <c r="B142" s="1">
        <v>0.82399999999999995</v>
      </c>
      <c r="C142" s="1">
        <v>11.5</v>
      </c>
      <c r="D142" s="2">
        <v>11500</v>
      </c>
    </row>
    <row r="143" spans="1:4">
      <c r="A143" s="1" t="s">
        <v>145</v>
      </c>
      <c r="B143" s="1">
        <v>0.54300000000000004</v>
      </c>
      <c r="C143" s="1">
        <v>7</v>
      </c>
      <c r="D143" s="2">
        <v>2100</v>
      </c>
    </row>
    <row r="144" spans="1:4">
      <c r="A144" s="1" t="s">
        <v>146</v>
      </c>
      <c r="B144" s="1">
        <v>0.76500000000000001</v>
      </c>
      <c r="C144" s="1">
        <v>10</v>
      </c>
      <c r="D144" s="2">
        <v>12000</v>
      </c>
    </row>
    <row r="145" spans="1:4">
      <c r="A145" s="1" t="s">
        <v>147</v>
      </c>
      <c r="B145" s="1">
        <v>0.74299999999999999</v>
      </c>
      <c r="C145" s="1">
        <v>10.5</v>
      </c>
      <c r="D145" s="2">
        <v>10000</v>
      </c>
    </row>
    <row r="146" spans="1:4">
      <c r="A146" s="1" t="s">
        <v>148</v>
      </c>
      <c r="B146" s="1">
        <v>0.71799999999999997</v>
      </c>
      <c r="C146" s="1">
        <v>10</v>
      </c>
      <c r="D146" s="2">
        <v>8000</v>
      </c>
    </row>
    <row r="147" spans="1:4">
      <c r="A147" s="1" t="s">
        <v>149</v>
      </c>
      <c r="B147" s="1">
        <v>0.71199999999999997</v>
      </c>
      <c r="C147" s="1">
        <v>8.5</v>
      </c>
      <c r="D147" s="2">
        <v>4000</v>
      </c>
    </row>
    <row r="148" spans="1:4">
      <c r="A148" s="1" t="s">
        <v>150</v>
      </c>
      <c r="B148" s="1">
        <v>0.89200000000000002</v>
      </c>
      <c r="C148" s="1">
        <v>12.5</v>
      </c>
      <c r="D148" s="2">
        <v>45000</v>
      </c>
    </row>
    <row r="149" spans="1:4">
      <c r="A149" s="1" t="s">
        <v>151</v>
      </c>
      <c r="B149" s="1">
        <v>0.58699999999999997</v>
      </c>
      <c r="C149" s="1">
        <v>7</v>
      </c>
      <c r="D149" s="2">
        <v>2000</v>
      </c>
    </row>
    <row r="150" spans="1:4">
      <c r="A150" s="1" t="s">
        <v>152</v>
      </c>
      <c r="B150" s="1">
        <v>0.85399999999999998</v>
      </c>
      <c r="C150" s="1">
        <v>11.2</v>
      </c>
      <c r="D150" s="2">
        <v>21000</v>
      </c>
    </row>
    <row r="151" spans="1:4">
      <c r="A151" s="1" t="s">
        <v>153</v>
      </c>
      <c r="B151" s="1">
        <v>0.51200000000000001</v>
      </c>
      <c r="C151" s="1">
        <v>5.5</v>
      </c>
      <c r="D151" s="2">
        <v>1600</v>
      </c>
    </row>
    <row r="152" spans="1:4">
      <c r="A152" s="1" t="s">
        <v>154</v>
      </c>
      <c r="B152" s="1">
        <v>0.79900000000000004</v>
      </c>
      <c r="C152" s="1">
        <v>11.5</v>
      </c>
      <c r="D152" s="2">
        <v>8500</v>
      </c>
    </row>
    <row r="153" spans="1:4">
      <c r="A153" s="1" t="s">
        <v>155</v>
      </c>
      <c r="B153" s="1">
        <v>0.80100000000000005</v>
      </c>
      <c r="C153" s="1">
        <v>11.5</v>
      </c>
      <c r="D153" s="2">
        <v>15000</v>
      </c>
    </row>
    <row r="154" spans="1:4">
      <c r="A154" s="1" t="s">
        <v>156</v>
      </c>
      <c r="B154" s="1">
        <v>0.45200000000000001</v>
      </c>
      <c r="C154" s="1">
        <v>4</v>
      </c>
      <c r="D154" s="1">
        <v>600</v>
      </c>
    </row>
    <row r="155" spans="1:4">
      <c r="A155" s="1" t="s">
        <v>157</v>
      </c>
      <c r="B155" s="1">
        <v>0.93799999999999994</v>
      </c>
      <c r="C155" s="1">
        <v>11.9</v>
      </c>
      <c r="D155" s="2">
        <v>88000</v>
      </c>
    </row>
    <row r="156" spans="1:4">
      <c r="A156" s="1" t="s">
        <v>158</v>
      </c>
      <c r="B156" s="1">
        <v>0.85499999999999998</v>
      </c>
      <c r="C156" s="1">
        <v>12</v>
      </c>
      <c r="D156" s="2">
        <v>19000</v>
      </c>
    </row>
    <row r="157" spans="1:4">
      <c r="A157" s="1" t="s">
        <v>159</v>
      </c>
      <c r="B157" s="1">
        <v>0.91800000000000004</v>
      </c>
      <c r="C157" s="1">
        <v>12.9</v>
      </c>
      <c r="D157" s="2">
        <v>27000</v>
      </c>
    </row>
    <row r="158" spans="1:4">
      <c r="A158" s="1" t="s">
        <v>160</v>
      </c>
      <c r="B158" s="1">
        <v>0.56000000000000005</v>
      </c>
      <c r="C158" s="1">
        <v>7</v>
      </c>
      <c r="D158" s="2">
        <v>2300</v>
      </c>
    </row>
    <row r="159" spans="1:4">
      <c r="A159" s="1" t="s">
        <v>161</v>
      </c>
      <c r="B159" s="1">
        <v>0.28499999999999998</v>
      </c>
      <c r="C159" s="1">
        <v>2</v>
      </c>
      <c r="D159" s="1">
        <v>300</v>
      </c>
    </row>
    <row r="160" spans="1:4">
      <c r="A160" s="1" t="s">
        <v>162</v>
      </c>
      <c r="B160" s="1">
        <v>0.70699999999999996</v>
      </c>
      <c r="C160" s="1">
        <v>9.5</v>
      </c>
      <c r="D160" s="2">
        <v>6000</v>
      </c>
    </row>
    <row r="161" spans="1:4">
      <c r="A161" s="1" t="s">
        <v>163</v>
      </c>
      <c r="B161" s="1">
        <v>0.41299999999999998</v>
      </c>
      <c r="C161" s="1">
        <v>3</v>
      </c>
      <c r="D161" s="1">
        <v>300</v>
      </c>
    </row>
    <row r="162" spans="1:4">
      <c r="A162" s="1" t="s">
        <v>164</v>
      </c>
      <c r="B162" s="1">
        <v>0.90400000000000003</v>
      </c>
      <c r="C162" s="1">
        <v>12.8</v>
      </c>
      <c r="D162" s="2">
        <v>30000</v>
      </c>
    </row>
    <row r="163" spans="1:4">
      <c r="A163" s="1" t="s">
        <v>165</v>
      </c>
      <c r="B163" s="1">
        <v>0.78200000000000003</v>
      </c>
      <c r="C163" s="1">
        <v>10.5</v>
      </c>
      <c r="D163" s="2">
        <v>4000</v>
      </c>
    </row>
    <row r="164" spans="1:4">
      <c r="A164" s="1" t="s">
        <v>166</v>
      </c>
      <c r="B164" s="1">
        <v>0.51</v>
      </c>
      <c r="C164" s="1">
        <v>5</v>
      </c>
      <c r="D164" s="2">
        <v>1500</v>
      </c>
    </row>
    <row r="165" spans="1:4">
      <c r="A165" s="1" t="s">
        <v>167</v>
      </c>
      <c r="B165" s="1">
        <v>0.71599999999999997</v>
      </c>
      <c r="C165" s="1">
        <v>9.5</v>
      </c>
      <c r="D165" s="2">
        <v>5500</v>
      </c>
    </row>
    <row r="166" spans="1:4">
      <c r="A166" s="1" t="s">
        <v>168</v>
      </c>
      <c r="B166" s="1">
        <v>0.94499999999999995</v>
      </c>
      <c r="C166" s="1">
        <v>13</v>
      </c>
      <c r="D166" s="2">
        <v>56000</v>
      </c>
    </row>
    <row r="167" spans="1:4">
      <c r="A167" s="1" t="s">
        <v>169</v>
      </c>
      <c r="B167" s="1">
        <v>0.96199999999999997</v>
      </c>
      <c r="C167" s="1">
        <v>13.9</v>
      </c>
      <c r="D167" s="2">
        <v>69000</v>
      </c>
    </row>
    <row r="168" spans="1:4">
      <c r="A168" s="1" t="s">
        <v>170</v>
      </c>
      <c r="B168" s="1">
        <v>0.53600000000000003</v>
      </c>
      <c r="C168" s="1">
        <v>7</v>
      </c>
      <c r="D168" s="2">
        <v>2000</v>
      </c>
    </row>
    <row r="169" spans="1:4">
      <c r="A169" s="1" t="s">
        <v>171</v>
      </c>
      <c r="B169" s="1">
        <v>0.90700000000000003</v>
      </c>
      <c r="C169" s="1">
        <v>12.5</v>
      </c>
      <c r="D169" s="2">
        <v>32000</v>
      </c>
    </row>
    <row r="170" spans="1:4">
      <c r="A170" s="1" t="s">
        <v>172</v>
      </c>
      <c r="B170" s="1">
        <v>0.66100000000000003</v>
      </c>
      <c r="C170" s="1">
        <v>8</v>
      </c>
      <c r="D170" s="2">
        <v>1200</v>
      </c>
    </row>
    <row r="171" spans="1:4">
      <c r="A171" s="1" t="s">
        <v>173</v>
      </c>
      <c r="B171" s="1">
        <v>0.53800000000000003</v>
      </c>
      <c r="C171" s="1">
        <v>6</v>
      </c>
      <c r="D171" s="2">
        <v>1100</v>
      </c>
    </row>
    <row r="172" spans="1:4">
      <c r="A172" s="1" t="s">
        <v>174</v>
      </c>
      <c r="B172" s="1">
        <v>0.77700000000000002</v>
      </c>
      <c r="C172" s="1">
        <v>8.5</v>
      </c>
      <c r="D172" s="2">
        <v>6800</v>
      </c>
    </row>
    <row r="173" spans="1:4">
      <c r="A173" s="1" t="s">
        <v>175</v>
      </c>
      <c r="B173" s="1">
        <v>0.51300000000000001</v>
      </c>
      <c r="C173" s="1">
        <v>4.5</v>
      </c>
      <c r="D173" s="1">
        <v>700</v>
      </c>
    </row>
    <row r="174" spans="1:4">
      <c r="A174" s="1" t="s">
        <v>176</v>
      </c>
      <c r="B174" s="1">
        <v>0.71699999999999997</v>
      </c>
      <c r="C174" s="1">
        <v>9</v>
      </c>
      <c r="D174" s="2">
        <v>4500</v>
      </c>
    </row>
    <row r="175" spans="1:4">
      <c r="A175" s="1" t="s">
        <v>177</v>
      </c>
      <c r="B175" s="1">
        <v>0.79700000000000004</v>
      </c>
      <c r="C175" s="1">
        <v>11</v>
      </c>
      <c r="D175" s="2">
        <v>16000</v>
      </c>
    </row>
    <row r="176" spans="1:4">
      <c r="A176" s="1" t="s">
        <v>178</v>
      </c>
      <c r="B176" s="1">
        <v>0.73799999999999999</v>
      </c>
      <c r="C176" s="1">
        <v>9.5</v>
      </c>
      <c r="D176" s="2">
        <v>3900</v>
      </c>
    </row>
    <row r="177" spans="1:4">
      <c r="A177" s="1" t="s">
        <v>179</v>
      </c>
      <c r="B177" s="1">
        <v>0.82</v>
      </c>
      <c r="C177" s="1">
        <v>8.5</v>
      </c>
      <c r="D177" s="2">
        <v>9500</v>
      </c>
    </row>
    <row r="178" spans="1:4">
      <c r="A178" s="1" t="s">
        <v>180</v>
      </c>
      <c r="B178" s="1">
        <v>0.71699999999999997</v>
      </c>
      <c r="C178" s="1">
        <v>9</v>
      </c>
      <c r="D178" s="2">
        <v>7000</v>
      </c>
    </row>
    <row r="179" spans="1:4">
      <c r="A179" s="1" t="s">
        <v>181</v>
      </c>
      <c r="B179" s="1">
        <v>0.71499999999999997</v>
      </c>
      <c r="C179" s="1">
        <v>8.5</v>
      </c>
      <c r="D179" s="2">
        <v>4000</v>
      </c>
    </row>
    <row r="180" spans="1:4">
      <c r="A180" s="1" t="s">
        <v>182</v>
      </c>
      <c r="B180" s="1">
        <v>0.54300000000000004</v>
      </c>
      <c r="C180" s="1">
        <v>5.5</v>
      </c>
      <c r="D180" s="1">
        <v>900</v>
      </c>
    </row>
    <row r="181" spans="1:4">
      <c r="A181" s="1" t="s">
        <v>183</v>
      </c>
      <c r="B181" s="1">
        <v>0.77900000000000003</v>
      </c>
      <c r="C181" s="1">
        <v>10.5</v>
      </c>
      <c r="D181" s="2">
        <v>4500</v>
      </c>
    </row>
    <row r="182" spans="1:4">
      <c r="A182" s="1" t="s">
        <v>184</v>
      </c>
      <c r="B182" s="1">
        <v>0.89</v>
      </c>
      <c r="C182" s="1">
        <v>12.8</v>
      </c>
      <c r="D182" s="2">
        <v>43000</v>
      </c>
    </row>
    <row r="183" spans="1:4">
      <c r="A183" s="1" t="s">
        <v>185</v>
      </c>
      <c r="B183" s="1">
        <v>0.92200000000000004</v>
      </c>
      <c r="C183" s="1">
        <v>12.9</v>
      </c>
      <c r="D183" s="2">
        <v>46000</v>
      </c>
    </row>
    <row r="184" spans="1:4">
      <c r="A184" s="1" t="s">
        <v>186</v>
      </c>
      <c r="B184" s="1">
        <v>0.92600000000000005</v>
      </c>
      <c r="C184" s="1">
        <v>13.6</v>
      </c>
      <c r="D184" s="2">
        <v>65000</v>
      </c>
    </row>
    <row r="185" spans="1:4">
      <c r="A185" s="1" t="s">
        <v>187</v>
      </c>
      <c r="B185" s="1">
        <v>0.81699999999999995</v>
      </c>
      <c r="C185" s="1">
        <v>11.5</v>
      </c>
      <c r="D185" s="2">
        <v>16000</v>
      </c>
    </row>
    <row r="186" spans="1:4">
      <c r="A186" s="1" t="s">
        <v>188</v>
      </c>
      <c r="B186" s="1">
        <v>0.73599999999999999</v>
      </c>
      <c r="C186" s="1">
        <v>9.5</v>
      </c>
      <c r="D186" s="2">
        <v>1900</v>
      </c>
    </row>
    <row r="187" spans="1:4">
      <c r="A187" s="1" t="s">
        <v>189</v>
      </c>
      <c r="B187" s="1">
        <v>0.61699999999999999</v>
      </c>
      <c r="C187" s="1">
        <v>7.5</v>
      </c>
      <c r="D187" s="2">
        <v>2500</v>
      </c>
    </row>
    <row r="188" spans="1:4">
      <c r="A188" s="1" t="s">
        <v>190</v>
      </c>
      <c r="B188" s="1">
        <v>0.95</v>
      </c>
      <c r="C188" s="1">
        <v>12</v>
      </c>
      <c r="D188" s="1">
        <v>0</v>
      </c>
    </row>
    <row r="189" spans="1:4">
      <c r="A189" s="1" t="s">
        <v>191</v>
      </c>
      <c r="B189" s="1">
        <v>0.71099999999999997</v>
      </c>
      <c r="C189" s="1">
        <v>9</v>
      </c>
      <c r="D189" s="2">
        <v>6000</v>
      </c>
    </row>
    <row r="190" spans="1:4">
      <c r="A190" s="1" t="s">
        <v>192</v>
      </c>
      <c r="B190" s="1">
        <v>0.70399999999999996</v>
      </c>
      <c r="C190" s="1">
        <v>8.5</v>
      </c>
      <c r="D190" s="2">
        <v>3500</v>
      </c>
    </row>
    <row r="191" spans="1:4">
      <c r="A191" s="1" t="s">
        <v>193</v>
      </c>
      <c r="B191" s="1">
        <v>0.47</v>
      </c>
      <c r="C191" s="1">
        <v>4.5</v>
      </c>
      <c r="D191" s="2">
        <v>1000</v>
      </c>
    </row>
    <row r="192" spans="1:4">
      <c r="A192" s="1" t="s">
        <v>194</v>
      </c>
      <c r="B192" s="1">
        <v>0.58399999999999996</v>
      </c>
      <c r="C192" s="1">
        <v>6.5</v>
      </c>
      <c r="D192" s="2">
        <v>1600</v>
      </c>
    </row>
    <row r="193" spans="1:4">
      <c r="A193" s="1" t="s">
        <v>195</v>
      </c>
      <c r="B193" s="1">
        <v>0.57099999999999995</v>
      </c>
      <c r="C193" s="1">
        <v>8</v>
      </c>
      <c r="D193" s="2">
        <v>1800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102C9-BA65-4D32-865A-19611A18105C}">
  <dimension ref="A1:B193"/>
  <sheetViews>
    <sheetView workbookViewId="0">
      <selection sqref="A1:B1"/>
    </sheetView>
  </sheetViews>
  <sheetFormatPr defaultRowHeight="15"/>
  <cols>
    <col min="1" max="1" width="24.140625" bestFit="1" customWidth="1"/>
    <col min="2" max="2" width="10.7109375" bestFit="1" customWidth="1"/>
  </cols>
  <sheetData>
    <row r="1" spans="1:2">
      <c r="A1" s="9" t="s">
        <v>0</v>
      </c>
      <c r="B1" s="9" t="s">
        <v>196</v>
      </c>
    </row>
    <row r="2" spans="1:2">
      <c r="A2" s="1" t="s">
        <v>4</v>
      </c>
      <c r="B2" s="1" t="s">
        <v>197</v>
      </c>
    </row>
    <row r="3" spans="1:2">
      <c r="A3" s="1" t="s">
        <v>5</v>
      </c>
      <c r="B3" s="1" t="s">
        <v>198</v>
      </c>
    </row>
    <row r="4" spans="1:2">
      <c r="A4" s="1" t="s">
        <v>6</v>
      </c>
      <c r="B4" s="1" t="s">
        <v>199</v>
      </c>
    </row>
    <row r="5" spans="1:2">
      <c r="A5" s="1" t="s">
        <v>7</v>
      </c>
      <c r="B5" s="1" t="s">
        <v>198</v>
      </c>
    </row>
    <row r="6" spans="1:2">
      <c r="A6" s="1" t="s">
        <v>8</v>
      </c>
      <c r="B6" s="1" t="s">
        <v>199</v>
      </c>
    </row>
    <row r="7" spans="1:2">
      <c r="A7" s="1" t="s">
        <v>9</v>
      </c>
      <c r="B7" s="1" t="s">
        <v>200</v>
      </c>
    </row>
    <row r="8" spans="1:2">
      <c r="A8" s="1" t="s">
        <v>10</v>
      </c>
      <c r="B8" s="1" t="s">
        <v>200</v>
      </c>
    </row>
    <row r="9" spans="1:2">
      <c r="A9" s="1" t="s">
        <v>11</v>
      </c>
      <c r="B9" s="1" t="s">
        <v>197</v>
      </c>
    </row>
    <row r="10" spans="1:2">
      <c r="A10" s="1" t="s">
        <v>12</v>
      </c>
      <c r="B10" s="1" t="s">
        <v>201</v>
      </c>
    </row>
    <row r="11" spans="1:2">
      <c r="A11" s="1" t="s">
        <v>13</v>
      </c>
      <c r="B11" s="1" t="s">
        <v>198</v>
      </c>
    </row>
    <row r="12" spans="1:2">
      <c r="A12" s="1" t="s">
        <v>14</v>
      </c>
      <c r="B12" s="1" t="s">
        <v>197</v>
      </c>
    </row>
    <row r="13" spans="1:2">
      <c r="A13" s="1" t="s">
        <v>15</v>
      </c>
      <c r="B13" s="1" t="s">
        <v>200</v>
      </c>
    </row>
    <row r="14" spans="1:2">
      <c r="A14" s="1" t="s">
        <v>16</v>
      </c>
      <c r="B14" s="1" t="s">
        <v>197</v>
      </c>
    </row>
    <row r="15" spans="1:2">
      <c r="A15" s="1" t="s">
        <v>17</v>
      </c>
      <c r="B15" s="1" t="s">
        <v>197</v>
      </c>
    </row>
    <row r="16" spans="1:2">
      <c r="A16" s="1" t="s">
        <v>18</v>
      </c>
      <c r="B16" s="1" t="s">
        <v>200</v>
      </c>
    </row>
    <row r="17" spans="1:2">
      <c r="A17" s="1" t="s">
        <v>19</v>
      </c>
      <c r="B17" s="1" t="s">
        <v>198</v>
      </c>
    </row>
    <row r="18" spans="1:2">
      <c r="A18" s="1" t="s">
        <v>20</v>
      </c>
      <c r="B18" s="1" t="s">
        <v>198</v>
      </c>
    </row>
    <row r="19" spans="1:2">
      <c r="A19" s="1" t="s">
        <v>21</v>
      </c>
      <c r="B19" s="1" t="s">
        <v>200</v>
      </c>
    </row>
    <row r="20" spans="1:2">
      <c r="A20" s="1" t="s">
        <v>22</v>
      </c>
      <c r="B20" s="1" t="s">
        <v>199</v>
      </c>
    </row>
    <row r="21" spans="1:2">
      <c r="A21" s="1" t="s">
        <v>23</v>
      </c>
      <c r="B21" s="1" t="s">
        <v>197</v>
      </c>
    </row>
    <row r="22" spans="1:2">
      <c r="A22" s="1" t="s">
        <v>24</v>
      </c>
      <c r="B22" s="1" t="s">
        <v>200</v>
      </c>
    </row>
    <row r="23" spans="1:2">
      <c r="A23" s="1" t="s">
        <v>25</v>
      </c>
      <c r="B23" s="1" t="s">
        <v>198</v>
      </c>
    </row>
    <row r="24" spans="1:2">
      <c r="A24" s="1" t="s">
        <v>26</v>
      </c>
      <c r="B24" s="1" t="s">
        <v>199</v>
      </c>
    </row>
    <row r="25" spans="1:2">
      <c r="A25" s="1" t="s">
        <v>27</v>
      </c>
      <c r="B25" s="1" t="s">
        <v>200</v>
      </c>
    </row>
    <row r="26" spans="1:2">
      <c r="A26" s="1" t="s">
        <v>28</v>
      </c>
      <c r="B26" s="1" t="s">
        <v>197</v>
      </c>
    </row>
    <row r="27" spans="1:2">
      <c r="A27" s="1" t="s">
        <v>29</v>
      </c>
      <c r="B27" s="1" t="s">
        <v>198</v>
      </c>
    </row>
    <row r="28" spans="1:2">
      <c r="A28" s="1" t="s">
        <v>30</v>
      </c>
      <c r="B28" s="1" t="s">
        <v>199</v>
      </c>
    </row>
    <row r="29" spans="1:2">
      <c r="A29" s="1" t="s">
        <v>31</v>
      </c>
      <c r="B29" s="1" t="s">
        <v>199</v>
      </c>
    </row>
    <row r="30" spans="1:2">
      <c r="A30" s="1" t="s">
        <v>32</v>
      </c>
      <c r="B30" s="1" t="s">
        <v>199</v>
      </c>
    </row>
    <row r="31" spans="1:2">
      <c r="A31" s="1" t="s">
        <v>33</v>
      </c>
      <c r="B31" s="1" t="s">
        <v>199</v>
      </c>
    </row>
    <row r="32" spans="1:2">
      <c r="A32" s="1" t="s">
        <v>34</v>
      </c>
      <c r="B32" s="1" t="s">
        <v>200</v>
      </c>
    </row>
    <row r="33" spans="1:2">
      <c r="A33" s="1" t="s">
        <v>35</v>
      </c>
      <c r="B33" s="1" t="s">
        <v>199</v>
      </c>
    </row>
    <row r="34" spans="1:2">
      <c r="A34" s="1" t="s">
        <v>36</v>
      </c>
      <c r="B34" s="1" t="s">
        <v>199</v>
      </c>
    </row>
    <row r="35" spans="1:2">
      <c r="A35" s="1" t="s">
        <v>37</v>
      </c>
      <c r="B35" s="1" t="s">
        <v>200</v>
      </c>
    </row>
    <row r="36" spans="1:2">
      <c r="A36" s="1" t="s">
        <v>38</v>
      </c>
      <c r="B36" s="1" t="s">
        <v>197</v>
      </c>
    </row>
    <row r="37" spans="1:2">
      <c r="A37" s="1" t="s">
        <v>39</v>
      </c>
      <c r="B37" s="1" t="s">
        <v>200</v>
      </c>
    </row>
    <row r="38" spans="1:2">
      <c r="A38" s="1" t="s">
        <v>40</v>
      </c>
      <c r="B38" s="1" t="s">
        <v>199</v>
      </c>
    </row>
    <row r="39" spans="1:2">
      <c r="A39" s="1" t="s">
        <v>41</v>
      </c>
      <c r="B39" s="1" t="s">
        <v>199</v>
      </c>
    </row>
    <row r="40" spans="1:2">
      <c r="A40" s="1" t="s">
        <v>42</v>
      </c>
      <c r="B40" s="1" t="s">
        <v>199</v>
      </c>
    </row>
    <row r="41" spans="1:2">
      <c r="A41" s="1" t="s">
        <v>43</v>
      </c>
      <c r="B41" s="1" t="s">
        <v>200</v>
      </c>
    </row>
    <row r="42" spans="1:2">
      <c r="A42" s="1" t="s">
        <v>44</v>
      </c>
      <c r="B42" s="1" t="s">
        <v>199</v>
      </c>
    </row>
    <row r="43" spans="1:2">
      <c r="A43" s="1" t="s">
        <v>45</v>
      </c>
      <c r="B43" s="1" t="s">
        <v>198</v>
      </c>
    </row>
    <row r="44" spans="1:2">
      <c r="A44" s="1" t="s">
        <v>46</v>
      </c>
      <c r="B44" s="1" t="s">
        <v>200</v>
      </c>
    </row>
    <row r="45" spans="1:2">
      <c r="A45" s="1" t="s">
        <v>47</v>
      </c>
      <c r="B45" s="1" t="s">
        <v>197</v>
      </c>
    </row>
    <row r="46" spans="1:2">
      <c r="A46" s="1" t="s">
        <v>48</v>
      </c>
      <c r="B46" s="1" t="s">
        <v>198</v>
      </c>
    </row>
    <row r="47" spans="1:2">
      <c r="A47" s="1" t="s">
        <v>49</v>
      </c>
      <c r="B47" s="1" t="s">
        <v>198</v>
      </c>
    </row>
    <row r="48" spans="1:2">
      <c r="A48" s="1" t="s">
        <v>50</v>
      </c>
      <c r="B48" s="1" t="s">
        <v>199</v>
      </c>
    </row>
    <row r="49" spans="1:2">
      <c r="A49" s="1" t="s">
        <v>51</v>
      </c>
      <c r="B49" s="1" t="s">
        <v>200</v>
      </c>
    </row>
    <row r="50" spans="1:2">
      <c r="A50" s="1" t="s">
        <v>52</v>
      </c>
      <c r="B50" s="1" t="s">
        <v>200</v>
      </c>
    </row>
    <row r="51" spans="1:2">
      <c r="A51" s="1" t="s">
        <v>53</v>
      </c>
      <c r="B51" s="1" t="s">
        <v>200</v>
      </c>
    </row>
    <row r="52" spans="1:2">
      <c r="A52" s="1" t="s">
        <v>54</v>
      </c>
      <c r="B52" s="1" t="s">
        <v>199</v>
      </c>
    </row>
    <row r="53" spans="1:2">
      <c r="A53" s="1" t="s">
        <v>55</v>
      </c>
      <c r="B53" s="1" t="s">
        <v>200</v>
      </c>
    </row>
    <row r="54" spans="1:2">
      <c r="A54" s="1" t="s">
        <v>56</v>
      </c>
      <c r="B54" s="1" t="s">
        <v>199</v>
      </c>
    </row>
    <row r="55" spans="1:2">
      <c r="A55" s="1" t="s">
        <v>57</v>
      </c>
      <c r="B55" s="1" t="s">
        <v>199</v>
      </c>
    </row>
    <row r="56" spans="1:2">
      <c r="A56" s="1" t="s">
        <v>58</v>
      </c>
      <c r="B56" s="1" t="s">
        <v>198</v>
      </c>
    </row>
    <row r="57" spans="1:2">
      <c r="A57" s="1" t="s">
        <v>59</v>
      </c>
      <c r="B57" s="1" t="s">
        <v>199</v>
      </c>
    </row>
    <row r="58" spans="1:2">
      <c r="A58" s="1" t="s">
        <v>60</v>
      </c>
      <c r="B58" s="1" t="s">
        <v>199</v>
      </c>
    </row>
    <row r="59" spans="1:2">
      <c r="A59" s="1" t="s">
        <v>61</v>
      </c>
      <c r="B59" s="1" t="s">
        <v>201</v>
      </c>
    </row>
    <row r="60" spans="1:2">
      <c r="A60" s="1" t="s">
        <v>62</v>
      </c>
      <c r="B60" s="1" t="s">
        <v>198</v>
      </c>
    </row>
    <row r="61" spans="1:2">
      <c r="A61" s="1" t="s">
        <v>63</v>
      </c>
      <c r="B61" s="1" t="s">
        <v>198</v>
      </c>
    </row>
    <row r="62" spans="1:2">
      <c r="A62" s="1" t="s">
        <v>64</v>
      </c>
      <c r="B62" s="1" t="s">
        <v>199</v>
      </c>
    </row>
    <row r="63" spans="1:2">
      <c r="A63" s="1" t="s">
        <v>65</v>
      </c>
      <c r="B63" s="1" t="s">
        <v>199</v>
      </c>
    </row>
    <row r="64" spans="1:2">
      <c r="A64" s="1" t="s">
        <v>66</v>
      </c>
      <c r="B64" s="1" t="s">
        <v>197</v>
      </c>
    </row>
    <row r="65" spans="1:2">
      <c r="A65" s="1" t="s">
        <v>67</v>
      </c>
      <c r="B65" s="1" t="s">
        <v>198</v>
      </c>
    </row>
    <row r="66" spans="1:2">
      <c r="A66" s="1" t="s">
        <v>68</v>
      </c>
      <c r="B66" s="1" t="s">
        <v>199</v>
      </c>
    </row>
    <row r="67" spans="1:2">
      <c r="A67" s="1" t="s">
        <v>69</v>
      </c>
      <c r="B67" s="1" t="s">
        <v>198</v>
      </c>
    </row>
    <row r="68" spans="1:2">
      <c r="A68" s="1" t="s">
        <v>70</v>
      </c>
      <c r="B68" s="1" t="s">
        <v>200</v>
      </c>
    </row>
    <row r="69" spans="1:2">
      <c r="A69" s="1" t="s">
        <v>71</v>
      </c>
      <c r="B69" s="1" t="s">
        <v>200</v>
      </c>
    </row>
    <row r="70" spans="1:2">
      <c r="A70" s="1" t="s">
        <v>72</v>
      </c>
      <c r="B70" s="1" t="s">
        <v>199</v>
      </c>
    </row>
    <row r="71" spans="1:2">
      <c r="A71" s="1" t="s">
        <v>73</v>
      </c>
      <c r="B71" s="1" t="s">
        <v>199</v>
      </c>
    </row>
    <row r="72" spans="1:2">
      <c r="A72" s="1" t="s">
        <v>74</v>
      </c>
      <c r="B72" s="1" t="s">
        <v>200</v>
      </c>
    </row>
    <row r="73" spans="1:2">
      <c r="A73" s="1" t="s">
        <v>75</v>
      </c>
      <c r="B73" s="1" t="s">
        <v>200</v>
      </c>
    </row>
    <row r="74" spans="1:2">
      <c r="A74" s="1" t="s">
        <v>76</v>
      </c>
      <c r="B74" s="1" t="s">
        <v>200</v>
      </c>
    </row>
    <row r="75" spans="1:2">
      <c r="A75" s="1" t="s">
        <v>77</v>
      </c>
      <c r="B75" s="1" t="s">
        <v>198</v>
      </c>
    </row>
    <row r="76" spans="1:2">
      <c r="A76" s="1" t="s">
        <v>78</v>
      </c>
      <c r="B76" s="1" t="s">
        <v>198</v>
      </c>
    </row>
    <row r="77" spans="1:2">
      <c r="A77" s="1" t="s">
        <v>79</v>
      </c>
      <c r="B77" s="1" t="s">
        <v>197</v>
      </c>
    </row>
    <row r="78" spans="1:2">
      <c r="A78" s="1" t="s">
        <v>80</v>
      </c>
      <c r="B78" s="1" t="s">
        <v>197</v>
      </c>
    </row>
    <row r="79" spans="1:2">
      <c r="A79" s="1" t="s">
        <v>81</v>
      </c>
      <c r="B79" s="1" t="s">
        <v>197</v>
      </c>
    </row>
    <row r="80" spans="1:2">
      <c r="A80" s="1" t="s">
        <v>82</v>
      </c>
      <c r="B80" s="1" t="s">
        <v>197</v>
      </c>
    </row>
    <row r="81" spans="1:2">
      <c r="A81" s="1" t="s">
        <v>83</v>
      </c>
      <c r="B81" s="1" t="s">
        <v>198</v>
      </c>
    </row>
    <row r="82" spans="1:2">
      <c r="A82" s="1" t="s">
        <v>84</v>
      </c>
      <c r="B82" s="1" t="s">
        <v>197</v>
      </c>
    </row>
    <row r="83" spans="1:2">
      <c r="A83" s="1" t="s">
        <v>85</v>
      </c>
      <c r="B83" s="1" t="s">
        <v>198</v>
      </c>
    </row>
    <row r="84" spans="1:2">
      <c r="A84" s="1" t="s">
        <v>86</v>
      </c>
      <c r="B84" s="1" t="s">
        <v>200</v>
      </c>
    </row>
    <row r="85" spans="1:2">
      <c r="A85" s="1" t="s">
        <v>87</v>
      </c>
      <c r="B85" s="1" t="s">
        <v>197</v>
      </c>
    </row>
    <row r="86" spans="1:2">
      <c r="A86" s="1" t="s">
        <v>88</v>
      </c>
      <c r="B86" s="1" t="s">
        <v>197</v>
      </c>
    </row>
    <row r="87" spans="1:2">
      <c r="A87" s="1" t="s">
        <v>89</v>
      </c>
      <c r="B87" s="1" t="s">
        <v>197</v>
      </c>
    </row>
    <row r="88" spans="1:2">
      <c r="A88" s="1" t="s">
        <v>90</v>
      </c>
      <c r="B88" s="1" t="s">
        <v>199</v>
      </c>
    </row>
    <row r="89" spans="1:2">
      <c r="A89" s="1" t="s">
        <v>91</v>
      </c>
      <c r="B89" s="1" t="s">
        <v>201</v>
      </c>
    </row>
    <row r="90" spans="1:2">
      <c r="A90" s="1" t="s">
        <v>92</v>
      </c>
      <c r="B90" s="1" t="s">
        <v>197</v>
      </c>
    </row>
    <row r="91" spans="1:2">
      <c r="A91" s="1" t="s">
        <v>93</v>
      </c>
      <c r="B91" s="1" t="s">
        <v>197</v>
      </c>
    </row>
    <row r="92" spans="1:2">
      <c r="A92" s="1" t="s">
        <v>94</v>
      </c>
      <c r="B92" s="1" t="s">
        <v>197</v>
      </c>
    </row>
    <row r="93" spans="1:2">
      <c r="A93" s="1" t="s">
        <v>95</v>
      </c>
      <c r="B93" s="1" t="s">
        <v>197</v>
      </c>
    </row>
    <row r="94" spans="1:2">
      <c r="A94" s="1" t="s">
        <v>96</v>
      </c>
      <c r="B94" s="1" t="s">
        <v>197</v>
      </c>
    </row>
    <row r="95" spans="1:2">
      <c r="A95" s="1" t="s">
        <v>97</v>
      </c>
      <c r="B95" s="1" t="s">
        <v>198</v>
      </c>
    </row>
    <row r="96" spans="1:2">
      <c r="A96" s="1" t="s">
        <v>98</v>
      </c>
      <c r="B96" s="1" t="s">
        <v>197</v>
      </c>
    </row>
    <row r="97" spans="1:2">
      <c r="A97" s="1" t="s">
        <v>99</v>
      </c>
      <c r="B97" s="1" t="s">
        <v>199</v>
      </c>
    </row>
    <row r="98" spans="1:2">
      <c r="A98" s="1" t="s">
        <v>100</v>
      </c>
      <c r="B98" s="1" t="s">
        <v>199</v>
      </c>
    </row>
    <row r="99" spans="1:2">
      <c r="A99" s="1" t="s">
        <v>101</v>
      </c>
      <c r="B99" s="1" t="s">
        <v>199</v>
      </c>
    </row>
    <row r="100" spans="1:2">
      <c r="A100" s="1" t="s">
        <v>102</v>
      </c>
      <c r="B100" s="1" t="s">
        <v>198</v>
      </c>
    </row>
    <row r="101" spans="1:2">
      <c r="A101" s="1" t="s">
        <v>103</v>
      </c>
      <c r="B101" s="1" t="s">
        <v>198</v>
      </c>
    </row>
    <row r="102" spans="1:2">
      <c r="A102" s="1" t="s">
        <v>104</v>
      </c>
      <c r="B102" s="1" t="s">
        <v>198</v>
      </c>
    </row>
    <row r="103" spans="1:2">
      <c r="A103" s="1" t="s">
        <v>105</v>
      </c>
      <c r="B103" s="1" t="s">
        <v>199</v>
      </c>
    </row>
    <row r="104" spans="1:2">
      <c r="A104" s="1" t="s">
        <v>106</v>
      </c>
      <c r="B104" s="1" t="s">
        <v>199</v>
      </c>
    </row>
    <row r="105" spans="1:2">
      <c r="A105" s="1" t="s">
        <v>107</v>
      </c>
      <c r="B105" s="1" t="s">
        <v>197</v>
      </c>
    </row>
    <row r="106" spans="1:2">
      <c r="A106" s="1" t="s">
        <v>108</v>
      </c>
      <c r="B106" s="1" t="s">
        <v>197</v>
      </c>
    </row>
    <row r="107" spans="1:2">
      <c r="A107" s="1" t="s">
        <v>109</v>
      </c>
      <c r="B107" s="1" t="s">
        <v>199</v>
      </c>
    </row>
    <row r="108" spans="1:2">
      <c r="A108" s="1" t="s">
        <v>110</v>
      </c>
      <c r="B108" s="1" t="s">
        <v>198</v>
      </c>
    </row>
    <row r="109" spans="1:2">
      <c r="A109" s="1" t="s">
        <v>111</v>
      </c>
      <c r="B109" s="1" t="s">
        <v>201</v>
      </c>
    </row>
    <row r="110" spans="1:2">
      <c r="A110" s="1" t="s">
        <v>112</v>
      </c>
      <c r="B110" s="1" t="s">
        <v>199</v>
      </c>
    </row>
    <row r="111" spans="1:2">
      <c r="A111" s="1" t="s">
        <v>113</v>
      </c>
      <c r="B111" s="1" t="s">
        <v>199</v>
      </c>
    </row>
    <row r="112" spans="1:2">
      <c r="A112" s="1" t="s">
        <v>114</v>
      </c>
      <c r="B112" s="1" t="s">
        <v>200</v>
      </c>
    </row>
    <row r="113" spans="1:2">
      <c r="A113" s="1" t="s">
        <v>202</v>
      </c>
      <c r="B113" s="1" t="s">
        <v>201</v>
      </c>
    </row>
    <row r="114" spans="1:2">
      <c r="A114" s="1" t="s">
        <v>116</v>
      </c>
      <c r="B114" s="1" t="s">
        <v>198</v>
      </c>
    </row>
    <row r="115" spans="1:2">
      <c r="A115" s="1" t="s">
        <v>117</v>
      </c>
      <c r="B115" s="1" t="s">
        <v>198</v>
      </c>
    </row>
    <row r="116" spans="1:2">
      <c r="A116" s="1" t="s">
        <v>118</v>
      </c>
      <c r="B116" s="1" t="s">
        <v>197</v>
      </c>
    </row>
    <row r="117" spans="1:2">
      <c r="A117" s="1" t="s">
        <v>119</v>
      </c>
      <c r="B117" s="1" t="s">
        <v>198</v>
      </c>
    </row>
    <row r="118" spans="1:2">
      <c r="A118" s="1" t="s">
        <v>120</v>
      </c>
      <c r="B118" s="1" t="s">
        <v>199</v>
      </c>
    </row>
    <row r="119" spans="1:2">
      <c r="A119" s="1" t="s">
        <v>121</v>
      </c>
      <c r="B119" s="1" t="s">
        <v>199</v>
      </c>
    </row>
    <row r="120" spans="1:2">
      <c r="A120" s="1" t="s">
        <v>122</v>
      </c>
      <c r="B120" s="1" t="s">
        <v>197</v>
      </c>
    </row>
    <row r="121" spans="1:2">
      <c r="A121" s="1" t="s">
        <v>123</v>
      </c>
      <c r="B121" s="1" t="s">
        <v>199</v>
      </c>
    </row>
    <row r="122" spans="1:2">
      <c r="A122" s="1" t="s">
        <v>124</v>
      </c>
      <c r="B122" s="1" t="s">
        <v>201</v>
      </c>
    </row>
    <row r="123" spans="1:2">
      <c r="A123" s="1" t="s">
        <v>125</v>
      </c>
      <c r="B123" s="1" t="s">
        <v>197</v>
      </c>
    </row>
    <row r="124" spans="1:2">
      <c r="A124" s="1" t="s">
        <v>126</v>
      </c>
      <c r="B124" s="1" t="s">
        <v>198</v>
      </c>
    </row>
    <row r="125" spans="1:2">
      <c r="A125" s="1" t="s">
        <v>127</v>
      </c>
      <c r="B125" s="1" t="s">
        <v>201</v>
      </c>
    </row>
    <row r="126" spans="1:2">
      <c r="A126" s="1" t="s">
        <v>128</v>
      </c>
      <c r="B126" s="1" t="s">
        <v>200</v>
      </c>
    </row>
    <row r="127" spans="1:2">
      <c r="A127" s="1" t="s">
        <v>129</v>
      </c>
      <c r="B127" s="1" t="s">
        <v>199</v>
      </c>
    </row>
    <row r="128" spans="1:2">
      <c r="A128" s="1" t="s">
        <v>130</v>
      </c>
      <c r="B128" s="1" t="s">
        <v>199</v>
      </c>
    </row>
    <row r="129" spans="1:2">
      <c r="A129" s="1" t="s">
        <v>131</v>
      </c>
      <c r="B129" s="1" t="s">
        <v>198</v>
      </c>
    </row>
    <row r="130" spans="1:2">
      <c r="A130" s="1" t="s">
        <v>132</v>
      </c>
      <c r="B130" s="1" t="s">
        <v>197</v>
      </c>
    </row>
    <row r="131" spans="1:2">
      <c r="A131" s="1" t="s">
        <v>133</v>
      </c>
      <c r="B131" s="1" t="s">
        <v>197</v>
      </c>
    </row>
    <row r="132" spans="1:2">
      <c r="A132" s="1" t="s">
        <v>134</v>
      </c>
      <c r="B132" s="1" t="s">
        <v>201</v>
      </c>
    </row>
    <row r="133" spans="1:2">
      <c r="A133" s="1" t="s">
        <v>135</v>
      </c>
      <c r="B133" s="1" t="s">
        <v>200</v>
      </c>
    </row>
    <row r="134" spans="1:2">
      <c r="A134" s="1" t="s">
        <v>136</v>
      </c>
      <c r="B134" s="1" t="s">
        <v>201</v>
      </c>
    </row>
    <row r="135" spans="1:2">
      <c r="A135" s="1" t="s">
        <v>137</v>
      </c>
      <c r="B135" s="1" t="s">
        <v>200</v>
      </c>
    </row>
    <row r="136" spans="1:2">
      <c r="A136" s="1" t="s">
        <v>138</v>
      </c>
      <c r="B136" s="1" t="s">
        <v>200</v>
      </c>
    </row>
    <row r="137" spans="1:2">
      <c r="A137" s="1" t="s">
        <v>139</v>
      </c>
      <c r="B137" s="1" t="s">
        <v>197</v>
      </c>
    </row>
    <row r="138" spans="1:2">
      <c r="A138" s="1" t="s">
        <v>140</v>
      </c>
      <c r="B138" s="1" t="s">
        <v>198</v>
      </c>
    </row>
    <row r="139" spans="1:2">
      <c r="A139" s="1" t="s">
        <v>141</v>
      </c>
      <c r="B139" s="1" t="s">
        <v>198</v>
      </c>
    </row>
    <row r="140" spans="1:2">
      <c r="A140" s="1" t="s">
        <v>142</v>
      </c>
      <c r="B140" s="1" t="s">
        <v>197</v>
      </c>
    </row>
    <row r="141" spans="1:2">
      <c r="A141" s="1" t="s">
        <v>143</v>
      </c>
      <c r="B141" s="1" t="s">
        <v>198</v>
      </c>
    </row>
    <row r="142" spans="1:2">
      <c r="A142" s="1" t="s">
        <v>144</v>
      </c>
      <c r="B142" s="1" t="s">
        <v>198</v>
      </c>
    </row>
    <row r="143" spans="1:2">
      <c r="A143" s="1" t="s">
        <v>145</v>
      </c>
      <c r="B143" s="1" t="s">
        <v>199</v>
      </c>
    </row>
    <row r="144" spans="1:2">
      <c r="A144" s="1" t="s">
        <v>146</v>
      </c>
      <c r="B144" s="1" t="s">
        <v>200</v>
      </c>
    </row>
    <row r="145" spans="1:2">
      <c r="A145" s="1" t="s">
        <v>147</v>
      </c>
      <c r="B145" s="1" t="s">
        <v>200</v>
      </c>
    </row>
    <row r="146" spans="1:2">
      <c r="A146" s="1" t="s">
        <v>148</v>
      </c>
      <c r="B146" s="1" t="s">
        <v>200</v>
      </c>
    </row>
    <row r="147" spans="1:2">
      <c r="A147" s="1" t="s">
        <v>149</v>
      </c>
      <c r="B147" s="1" t="s">
        <v>201</v>
      </c>
    </row>
    <row r="148" spans="1:2">
      <c r="A148" s="1" t="s">
        <v>150</v>
      </c>
      <c r="B148" s="1" t="s">
        <v>198</v>
      </c>
    </row>
    <row r="149" spans="1:2">
      <c r="A149" s="1" t="s">
        <v>151</v>
      </c>
      <c r="B149" s="1" t="s">
        <v>199</v>
      </c>
    </row>
    <row r="150" spans="1:2">
      <c r="A150" s="1" t="s">
        <v>152</v>
      </c>
      <c r="B150" s="1" t="s">
        <v>197</v>
      </c>
    </row>
    <row r="151" spans="1:2">
      <c r="A151" s="1" t="s">
        <v>153</v>
      </c>
      <c r="B151" s="1" t="s">
        <v>199</v>
      </c>
    </row>
    <row r="152" spans="1:2">
      <c r="A152" s="1" t="s">
        <v>154</v>
      </c>
      <c r="B152" s="1" t="s">
        <v>198</v>
      </c>
    </row>
    <row r="153" spans="1:2">
      <c r="A153" s="1" t="s">
        <v>155</v>
      </c>
      <c r="B153" s="1" t="s">
        <v>199</v>
      </c>
    </row>
    <row r="154" spans="1:2">
      <c r="A154" s="1" t="s">
        <v>156</v>
      </c>
      <c r="B154" s="1" t="s">
        <v>199</v>
      </c>
    </row>
    <row r="155" spans="1:2">
      <c r="A155" s="1" t="s">
        <v>157</v>
      </c>
      <c r="B155" s="1" t="s">
        <v>197</v>
      </c>
    </row>
    <row r="156" spans="1:2">
      <c r="A156" s="1" t="s">
        <v>158</v>
      </c>
      <c r="B156" s="1" t="s">
        <v>198</v>
      </c>
    </row>
    <row r="157" spans="1:2">
      <c r="A157" s="1" t="s">
        <v>159</v>
      </c>
      <c r="B157" s="1" t="s">
        <v>198</v>
      </c>
    </row>
    <row r="158" spans="1:2">
      <c r="A158" s="1" t="s">
        <v>160</v>
      </c>
      <c r="B158" s="1" t="s">
        <v>201</v>
      </c>
    </row>
    <row r="159" spans="1:2">
      <c r="A159" s="1" t="s">
        <v>161</v>
      </c>
      <c r="B159" s="1" t="s">
        <v>199</v>
      </c>
    </row>
    <row r="160" spans="1:2">
      <c r="A160" s="1" t="s">
        <v>162</v>
      </c>
      <c r="B160" s="1" t="s">
        <v>199</v>
      </c>
    </row>
    <row r="161" spans="1:2">
      <c r="A161" s="1" t="s">
        <v>163</v>
      </c>
      <c r="B161" s="1" t="s">
        <v>199</v>
      </c>
    </row>
    <row r="162" spans="1:2">
      <c r="A162" s="1" t="s">
        <v>164</v>
      </c>
      <c r="B162" s="1" t="s">
        <v>198</v>
      </c>
    </row>
    <row r="163" spans="1:2">
      <c r="A163" s="1" t="s">
        <v>165</v>
      </c>
      <c r="B163" s="1" t="s">
        <v>197</v>
      </c>
    </row>
    <row r="164" spans="1:2">
      <c r="A164" s="1" t="s">
        <v>166</v>
      </c>
      <c r="B164" s="1" t="s">
        <v>199</v>
      </c>
    </row>
    <row r="165" spans="1:2">
      <c r="A165" s="1" t="s">
        <v>167</v>
      </c>
      <c r="B165" s="1" t="s">
        <v>200</v>
      </c>
    </row>
    <row r="166" spans="1:2">
      <c r="A166" s="1" t="s">
        <v>168</v>
      </c>
      <c r="B166" s="1" t="s">
        <v>198</v>
      </c>
    </row>
    <row r="167" spans="1:2">
      <c r="A167" s="1" t="s">
        <v>169</v>
      </c>
      <c r="B167" s="1" t="s">
        <v>198</v>
      </c>
    </row>
    <row r="168" spans="1:2">
      <c r="A168" s="1" t="s">
        <v>170</v>
      </c>
      <c r="B168" s="1" t="s">
        <v>197</v>
      </c>
    </row>
    <row r="169" spans="1:2">
      <c r="A169" s="1" t="s">
        <v>171</v>
      </c>
      <c r="B169" s="1" t="s">
        <v>197</v>
      </c>
    </row>
    <row r="170" spans="1:2">
      <c r="A170" s="1" t="s">
        <v>172</v>
      </c>
      <c r="B170" s="1" t="s">
        <v>197</v>
      </c>
    </row>
    <row r="171" spans="1:2">
      <c r="A171" s="1" t="s">
        <v>173</v>
      </c>
      <c r="B171" s="1" t="s">
        <v>199</v>
      </c>
    </row>
    <row r="172" spans="1:2">
      <c r="A172" s="1" t="s">
        <v>174</v>
      </c>
      <c r="B172" s="1" t="s">
        <v>197</v>
      </c>
    </row>
    <row r="173" spans="1:2">
      <c r="A173" s="1" t="s">
        <v>175</v>
      </c>
      <c r="B173" s="1" t="s">
        <v>199</v>
      </c>
    </row>
    <row r="174" spans="1:2">
      <c r="A174" s="1" t="s">
        <v>176</v>
      </c>
      <c r="B174" s="1" t="s">
        <v>201</v>
      </c>
    </row>
    <row r="175" spans="1:2">
      <c r="A175" s="1" t="s">
        <v>177</v>
      </c>
      <c r="B175" s="1" t="s">
        <v>200</v>
      </c>
    </row>
    <row r="176" spans="1:2">
      <c r="A176" s="1" t="s">
        <v>178</v>
      </c>
      <c r="B176" s="1" t="s">
        <v>199</v>
      </c>
    </row>
    <row r="177" spans="1:2">
      <c r="A177" s="1" t="s">
        <v>179</v>
      </c>
      <c r="B177" s="1" t="s">
        <v>197</v>
      </c>
    </row>
    <row r="178" spans="1:2">
      <c r="A178" s="1" t="s">
        <v>180</v>
      </c>
      <c r="B178" s="1" t="s">
        <v>197</v>
      </c>
    </row>
    <row r="179" spans="1:2">
      <c r="A179" s="1" t="s">
        <v>181</v>
      </c>
      <c r="B179" s="1" t="s">
        <v>201</v>
      </c>
    </row>
    <row r="180" spans="1:2">
      <c r="A180" s="1" t="s">
        <v>182</v>
      </c>
      <c r="B180" s="1" t="s">
        <v>199</v>
      </c>
    </row>
    <row r="181" spans="1:2">
      <c r="A181" s="1" t="s">
        <v>183</v>
      </c>
      <c r="B181" s="1" t="s">
        <v>198</v>
      </c>
    </row>
    <row r="182" spans="1:2">
      <c r="A182" s="1" t="s">
        <v>184</v>
      </c>
      <c r="B182" s="1" t="s">
        <v>197</v>
      </c>
    </row>
    <row r="183" spans="1:2">
      <c r="A183" s="1" t="s">
        <v>185</v>
      </c>
      <c r="B183" s="1" t="s">
        <v>198</v>
      </c>
    </row>
    <row r="184" spans="1:2">
      <c r="A184" s="1" t="s">
        <v>186</v>
      </c>
      <c r="B184" s="1" t="s">
        <v>200</v>
      </c>
    </row>
    <row r="185" spans="1:2">
      <c r="A185" s="1" t="s">
        <v>187</v>
      </c>
      <c r="B185" s="1" t="s">
        <v>200</v>
      </c>
    </row>
    <row r="186" spans="1:2">
      <c r="A186" s="1" t="s">
        <v>188</v>
      </c>
      <c r="B186" s="1" t="s">
        <v>197</v>
      </c>
    </row>
    <row r="187" spans="1:2">
      <c r="A187" s="1" t="s">
        <v>189</v>
      </c>
      <c r="B187" s="1" t="s">
        <v>201</v>
      </c>
    </row>
    <row r="188" spans="1:2">
      <c r="A188" s="1" t="s">
        <v>190</v>
      </c>
      <c r="B188" s="1" t="s">
        <v>198</v>
      </c>
    </row>
    <row r="189" spans="1:2">
      <c r="A189" s="1" t="s">
        <v>191</v>
      </c>
      <c r="B189" s="1" t="s">
        <v>200</v>
      </c>
    </row>
    <row r="190" spans="1:2">
      <c r="A190" s="1" t="s">
        <v>192</v>
      </c>
      <c r="B190" s="1" t="s">
        <v>197</v>
      </c>
    </row>
    <row r="191" spans="1:2">
      <c r="A191" s="1" t="s">
        <v>193</v>
      </c>
      <c r="B191" s="1" t="s">
        <v>197</v>
      </c>
    </row>
    <row r="192" spans="1:2">
      <c r="A192" s="1" t="s">
        <v>194</v>
      </c>
      <c r="B192" s="1" t="s">
        <v>199</v>
      </c>
    </row>
    <row r="193" spans="1:2">
      <c r="A193" s="1" t="s">
        <v>195</v>
      </c>
      <c r="B193" s="1" t="s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3E21E-4DCC-4D26-A680-44867DDCE008}">
  <dimension ref="A1:I193"/>
  <sheetViews>
    <sheetView topLeftCell="A16" workbookViewId="0">
      <selection activeCell="F13" sqref="F13"/>
    </sheetView>
  </sheetViews>
  <sheetFormatPr defaultRowHeight="15"/>
  <cols>
    <col min="1" max="1" width="10.7109375" bestFit="1" customWidth="1"/>
    <col min="2" max="2" width="30.28515625" bestFit="1" customWidth="1"/>
    <col min="3" max="3" width="11.28515625" customWidth="1"/>
    <col min="4" max="4" width="27.140625" bestFit="1" customWidth="1"/>
    <col min="5" max="5" width="16.140625" bestFit="1" customWidth="1"/>
    <col min="7" max="7" width="16.140625" bestFit="1" customWidth="1"/>
    <col min="8" max="8" width="22" bestFit="1" customWidth="1"/>
    <col min="9" max="9" width="16.85546875" bestFit="1" customWidth="1"/>
  </cols>
  <sheetData>
    <row r="1" spans="1:9">
      <c r="A1" s="9" t="s">
        <v>196</v>
      </c>
      <c r="B1" s="9" t="s">
        <v>0</v>
      </c>
      <c r="C1" s="9" t="s">
        <v>1</v>
      </c>
      <c r="D1" s="9" t="s">
        <v>2</v>
      </c>
      <c r="E1" s="9" t="s">
        <v>3</v>
      </c>
      <c r="G1" s="9" t="s">
        <v>196</v>
      </c>
      <c r="H1" s="9" t="s">
        <v>203</v>
      </c>
      <c r="I1" s="9" t="s">
        <v>204</v>
      </c>
    </row>
    <row r="2" spans="1:9">
      <c r="A2" s="1" t="str">
        <f>VLOOKUP(B2,'País - Continente'!A:B,2,FALSE)</f>
        <v>Europa</v>
      </c>
      <c r="B2" s="1" t="s">
        <v>117</v>
      </c>
      <c r="C2" s="4">
        <v>0.95699999999999996</v>
      </c>
      <c r="D2" s="4">
        <v>13</v>
      </c>
      <c r="E2" s="5">
        <v>180000</v>
      </c>
      <c r="G2" s="6" t="s">
        <v>198</v>
      </c>
      <c r="H2" s="3">
        <f>AVERAGEIF($A$2:$A$193,G2,$C$2:$C$193)</f>
        <v>0.88360465116279097</v>
      </c>
      <c r="I2" s="7">
        <f>COUNTIF(A:A,G2)</f>
        <v>43</v>
      </c>
    </row>
    <row r="3" spans="1:9">
      <c r="A3" s="1" t="str">
        <f>VLOOKUP(B3,'País - Continente'!A:B,2,FALSE)</f>
        <v>Europa</v>
      </c>
      <c r="B3" s="1" t="s">
        <v>102</v>
      </c>
      <c r="C3" s="4">
        <v>0.91700000000000004</v>
      </c>
      <c r="D3" s="4">
        <v>12.8</v>
      </c>
      <c r="E3" s="5">
        <v>140000</v>
      </c>
      <c r="G3" s="6" t="s">
        <v>200</v>
      </c>
      <c r="H3" s="3">
        <f>AVERAGEIF($A$2:$A$193,G3,$C$2:$C$193)</f>
        <v>0.75340000000000007</v>
      </c>
      <c r="I3" s="7">
        <f t="shared" ref="I3:I6" si="0">COUNTIF(A:A,G3)</f>
        <v>35</v>
      </c>
    </row>
    <row r="4" spans="1:9">
      <c r="A4" s="1" t="str">
        <f>VLOOKUP(B4,'País - Continente'!A:B,2,FALSE)</f>
        <v>Ásia</v>
      </c>
      <c r="B4" s="1" t="s">
        <v>157</v>
      </c>
      <c r="C4" s="4">
        <v>0.93799999999999994</v>
      </c>
      <c r="D4" s="4">
        <v>11.9</v>
      </c>
      <c r="E4" s="5">
        <v>88000</v>
      </c>
      <c r="G4" s="6" t="s">
        <v>197</v>
      </c>
      <c r="H4" s="3">
        <f>AVERAGEIF($A$2:$A$193,G4,$C$2:$C$193)</f>
        <v>0.74756521739130433</v>
      </c>
      <c r="I4" s="7">
        <f t="shared" si="0"/>
        <v>46</v>
      </c>
    </row>
    <row r="5" spans="1:9">
      <c r="A5" s="1" t="str">
        <f>VLOOKUP(B5,'País - Continente'!A:B,2,FALSE)</f>
        <v>Europa</v>
      </c>
      <c r="B5" s="1" t="s">
        <v>83</v>
      </c>
      <c r="C5" s="4">
        <v>0.95499999999999996</v>
      </c>
      <c r="D5" s="4">
        <v>13.6</v>
      </c>
      <c r="E5" s="5">
        <v>78000</v>
      </c>
      <c r="G5" s="6" t="s">
        <v>201</v>
      </c>
      <c r="H5" s="3">
        <f>AVERAGEIF($A$2:$A$193,G5,$C$2:$C$193)</f>
        <v>0.71615384615384636</v>
      </c>
      <c r="I5" s="7">
        <f t="shared" si="0"/>
        <v>13</v>
      </c>
    </row>
    <row r="6" spans="1:9">
      <c r="A6" s="1" t="str">
        <f>VLOOKUP(B6,'País - Continente'!A:B,2,FALSE)</f>
        <v>Europa</v>
      </c>
      <c r="B6" s="1" t="s">
        <v>104</v>
      </c>
      <c r="C6" s="4">
        <v>0.91600000000000004</v>
      </c>
      <c r="D6" s="4">
        <v>13</v>
      </c>
      <c r="E6" s="5">
        <v>78000</v>
      </c>
      <c r="G6" s="6" t="s">
        <v>199</v>
      </c>
      <c r="H6" s="3">
        <f>AVERAGEIF($A$2:$A$193,G6,$C$2:$C$193)</f>
        <v>0.55522222222222239</v>
      </c>
      <c r="I6" s="7">
        <f t="shared" si="0"/>
        <v>54</v>
      </c>
    </row>
    <row r="7" spans="1:9">
      <c r="A7" s="1" t="str">
        <f>VLOOKUP(B7,'País - Continente'!A:B,2,FALSE)</f>
        <v>Europa</v>
      </c>
      <c r="B7" s="1" t="s">
        <v>131</v>
      </c>
      <c r="C7" s="4">
        <v>0.96099999999999997</v>
      </c>
      <c r="D7" s="4">
        <v>13.1</v>
      </c>
      <c r="E7" s="5">
        <v>69000</v>
      </c>
    </row>
    <row r="8" spans="1:9">
      <c r="A8" s="1" t="str">
        <f>VLOOKUP(B8,'País - Continente'!A:B,2,FALSE)</f>
        <v>Europa</v>
      </c>
      <c r="B8" s="1" t="s">
        <v>169</v>
      </c>
      <c r="C8" s="4">
        <v>0.96199999999999997</v>
      </c>
      <c r="D8" s="4">
        <v>13.9</v>
      </c>
      <c r="E8" s="5">
        <v>69000</v>
      </c>
      <c r="G8" s="9" t="s">
        <v>205</v>
      </c>
      <c r="H8" s="3">
        <f>AVERAGE(C2:C193)</f>
        <v>0.72224999999999995</v>
      </c>
    </row>
    <row r="9" spans="1:9">
      <c r="A9" s="1" t="str">
        <f>VLOOKUP(B9,'País - Continente'!A:B,2,FALSE)</f>
        <v>América</v>
      </c>
      <c r="B9" s="1" t="s">
        <v>186</v>
      </c>
      <c r="C9" s="4">
        <v>0.92600000000000005</v>
      </c>
      <c r="D9" s="4">
        <v>13.6</v>
      </c>
      <c r="E9" s="5">
        <v>65000</v>
      </c>
    </row>
    <row r="10" spans="1:9">
      <c r="A10" s="1" t="str">
        <f>VLOOKUP(B10,'País - Continente'!A:B,2,FALSE)</f>
        <v>Ásia</v>
      </c>
      <c r="B10" s="1" t="s">
        <v>142</v>
      </c>
      <c r="C10" s="4">
        <v>0.84799999999999998</v>
      </c>
      <c r="D10" s="4">
        <v>11</v>
      </c>
      <c r="E10" s="5">
        <v>63000</v>
      </c>
      <c r="G10" s="9" t="s">
        <v>196</v>
      </c>
      <c r="H10" s="9" t="s">
        <v>206</v>
      </c>
      <c r="I10" s="9" t="s">
        <v>207</v>
      </c>
    </row>
    <row r="11" spans="1:9">
      <c r="A11" s="1" t="str">
        <f>VLOOKUP(B11,'País - Continente'!A:B,2,FALSE)</f>
        <v>Europa</v>
      </c>
      <c r="B11" s="1" t="s">
        <v>49</v>
      </c>
      <c r="C11" s="4">
        <v>0.94</v>
      </c>
      <c r="D11" s="4">
        <v>13</v>
      </c>
      <c r="E11" s="5">
        <v>58000</v>
      </c>
      <c r="G11" s="6" t="s">
        <v>198</v>
      </c>
      <c r="H11" s="7">
        <f>COUNTIFS(A:A,G11,C:C,"&gt;"&amp;$H$8)</f>
        <v>42</v>
      </c>
      <c r="I11" s="8">
        <f>H11/VLOOKUP(G11,$G$1:$I$6,3,FALSE)</f>
        <v>0.97674418604651159</v>
      </c>
    </row>
    <row r="12" spans="1:9">
      <c r="A12" s="1" t="str">
        <f>VLOOKUP(B12,'País - Continente'!A:B,2,FALSE)</f>
        <v>Europa</v>
      </c>
      <c r="B12" s="1" t="s">
        <v>168</v>
      </c>
      <c r="C12" s="4">
        <v>0.94499999999999995</v>
      </c>
      <c r="D12" s="4">
        <v>13</v>
      </c>
      <c r="E12" s="5">
        <v>56000</v>
      </c>
      <c r="G12" s="6" t="s">
        <v>200</v>
      </c>
      <c r="H12" s="7">
        <f>COUNTIFS(A:A,G12,C:C,"&gt;"&amp;$H$8)</f>
        <v>24</v>
      </c>
      <c r="I12" s="8">
        <f>H12/VLOOKUP(G12,$G$1:$I$6,3,FALSE)</f>
        <v>0.68571428571428572</v>
      </c>
    </row>
    <row r="13" spans="1:9">
      <c r="A13" s="1" t="str">
        <f>VLOOKUP(B13,'País - Continente'!A:B,2,FALSE)</f>
        <v>Oceania</v>
      </c>
      <c r="B13" s="1" t="s">
        <v>12</v>
      </c>
      <c r="C13" s="4">
        <v>0.94899999999999995</v>
      </c>
      <c r="D13" s="4">
        <v>13.6</v>
      </c>
      <c r="E13" s="5">
        <v>55000</v>
      </c>
      <c r="G13" s="6" t="s">
        <v>197</v>
      </c>
      <c r="H13" s="7">
        <f>COUNTIFS(A:A,G13,C:C,"&gt;"&amp;$H$8)</f>
        <v>28</v>
      </c>
      <c r="I13" s="8">
        <f>H13/VLOOKUP(G13,$G$1:$I$6,3,FALSE)</f>
        <v>0.60869565217391308</v>
      </c>
    </row>
    <row r="14" spans="1:9">
      <c r="A14" s="1" t="str">
        <f>VLOOKUP(B14,'País - Continente'!A:B,2,FALSE)</f>
        <v>Europa</v>
      </c>
      <c r="B14" s="1" t="s">
        <v>78</v>
      </c>
      <c r="C14" s="4">
        <v>0.94899999999999995</v>
      </c>
      <c r="D14" s="4">
        <v>13.8</v>
      </c>
      <c r="E14" s="5">
        <v>54000</v>
      </c>
      <c r="G14" s="6" t="s">
        <v>201</v>
      </c>
      <c r="H14" s="7">
        <f>COUNTIFS(A:A,G14,C:C,"&gt;"&amp;$H$8)</f>
        <v>4</v>
      </c>
      <c r="I14" s="8">
        <f>H14/VLOOKUP(G14,$G$1:$I$6,3,FALSE)</f>
        <v>0.30769230769230771</v>
      </c>
    </row>
    <row r="15" spans="1:9">
      <c r="A15" s="1" t="str">
        <f>VLOOKUP(B15,'País - Continente'!A:B,2,FALSE)</f>
        <v>Europa</v>
      </c>
      <c r="B15" s="1" t="s">
        <v>13</v>
      </c>
      <c r="C15" s="4">
        <v>0.92200000000000004</v>
      </c>
      <c r="D15" s="4">
        <v>13</v>
      </c>
      <c r="E15" s="5">
        <v>53000</v>
      </c>
      <c r="G15" s="6" t="s">
        <v>199</v>
      </c>
      <c r="H15" s="7">
        <f>COUNTIFS(A:A,G15,C:C,"&gt;"&amp;$H$8)</f>
        <v>6</v>
      </c>
      <c r="I15" s="8">
        <f>H15/VLOOKUP(G15,$G$1:$I$6,3,FALSE)</f>
        <v>0.1111111111111111</v>
      </c>
    </row>
    <row r="16" spans="1:9">
      <c r="A16" s="1" t="str">
        <f>VLOOKUP(B16,'País - Continente'!A:B,2,FALSE)</f>
        <v>Europa</v>
      </c>
      <c r="B16" s="1" t="s">
        <v>126</v>
      </c>
      <c r="C16" s="4">
        <v>0.94399999999999995</v>
      </c>
      <c r="D16" s="4">
        <v>12.6</v>
      </c>
      <c r="E16" s="5">
        <v>53000</v>
      </c>
    </row>
    <row r="17" spans="1:5">
      <c r="A17" s="1" t="str">
        <f>VLOOKUP(B17,'País - Continente'!A:B,2,FALSE)</f>
        <v>Europa</v>
      </c>
      <c r="B17" s="1" t="s">
        <v>20</v>
      </c>
      <c r="C17" s="4">
        <v>0.93100000000000005</v>
      </c>
      <c r="D17" s="4">
        <v>12.8</v>
      </c>
      <c r="E17" s="5">
        <v>49000</v>
      </c>
    </row>
    <row r="18" spans="1:5">
      <c r="A18" s="1" t="str">
        <f>VLOOKUP(B18,'País - Continente'!A:B,2,FALSE)</f>
        <v>Europa</v>
      </c>
      <c r="B18" s="1" t="s">
        <v>62</v>
      </c>
      <c r="C18" s="4">
        <v>0.93799999999999994</v>
      </c>
      <c r="D18" s="4">
        <v>13.9</v>
      </c>
      <c r="E18" s="5">
        <v>49000</v>
      </c>
    </row>
    <row r="19" spans="1:5">
      <c r="A19" s="1" t="str">
        <f>VLOOKUP(B19,'País - Continente'!A:B,2,FALSE)</f>
        <v>América</v>
      </c>
      <c r="B19" s="1" t="s">
        <v>34</v>
      </c>
      <c r="C19" s="4">
        <v>0.92900000000000005</v>
      </c>
      <c r="D19" s="4">
        <v>13.2</v>
      </c>
      <c r="E19" s="5">
        <v>46000</v>
      </c>
    </row>
    <row r="20" spans="1:5">
      <c r="A20" s="1" t="str">
        <f>VLOOKUP(B20,'País - Continente'!A:B,2,FALSE)</f>
        <v>Europa</v>
      </c>
      <c r="B20" s="1" t="s">
        <v>67</v>
      </c>
      <c r="C20" s="4">
        <v>0.94199999999999995</v>
      </c>
      <c r="D20" s="4">
        <v>13.4</v>
      </c>
      <c r="E20" s="5">
        <v>46000</v>
      </c>
    </row>
    <row r="21" spans="1:5">
      <c r="A21" s="1" t="str">
        <f>VLOOKUP(B21,'País - Continente'!A:B,2,FALSE)</f>
        <v>Europa</v>
      </c>
      <c r="B21" s="1" t="s">
        <v>185</v>
      </c>
      <c r="C21" s="4">
        <v>0.92200000000000004</v>
      </c>
      <c r="D21" s="4">
        <v>12.9</v>
      </c>
      <c r="E21" s="5">
        <v>46000</v>
      </c>
    </row>
    <row r="22" spans="1:5">
      <c r="A22" s="1" t="str">
        <f>VLOOKUP(B22,'País - Continente'!A:B,2,FALSE)</f>
        <v>Europa</v>
      </c>
      <c r="B22" s="1" t="s">
        <v>150</v>
      </c>
      <c r="C22" s="4">
        <v>0.89200000000000002</v>
      </c>
      <c r="D22" s="4">
        <v>12.5</v>
      </c>
      <c r="E22" s="5">
        <v>45000</v>
      </c>
    </row>
    <row r="23" spans="1:5">
      <c r="A23" s="1" t="str">
        <f>VLOOKUP(B23,'País - Continente'!A:B,2,FALSE)</f>
        <v>Ásia</v>
      </c>
      <c r="B23" s="1" t="s">
        <v>84</v>
      </c>
      <c r="C23" s="4">
        <v>0.91900000000000004</v>
      </c>
      <c r="D23" s="4">
        <v>12.7</v>
      </c>
      <c r="E23" s="5">
        <v>44000</v>
      </c>
    </row>
    <row r="24" spans="1:5">
      <c r="A24" s="1" t="str">
        <f>VLOOKUP(B24,'País - Continente'!A:B,2,FALSE)</f>
        <v>Ásia</v>
      </c>
      <c r="B24" s="1" t="s">
        <v>184</v>
      </c>
      <c r="C24" s="4">
        <v>0.89</v>
      </c>
      <c r="D24" s="4">
        <v>12.8</v>
      </c>
      <c r="E24" s="5">
        <v>43000</v>
      </c>
    </row>
    <row r="25" spans="1:5">
      <c r="A25" s="1" t="str">
        <f>VLOOKUP(B25,'País - Continente'!A:B,2,FALSE)</f>
        <v>Europa</v>
      </c>
      <c r="B25" s="1" t="s">
        <v>7</v>
      </c>
      <c r="C25" s="4">
        <v>0.85799999999999998</v>
      </c>
      <c r="D25" s="4">
        <v>13.5</v>
      </c>
      <c r="E25" s="5">
        <v>42000</v>
      </c>
    </row>
    <row r="26" spans="1:5">
      <c r="A26" s="1" t="str">
        <f>VLOOKUP(B26,'País - Continente'!A:B,2,FALSE)</f>
        <v>Europa</v>
      </c>
      <c r="B26" s="1" t="s">
        <v>63</v>
      </c>
      <c r="C26" s="4">
        <v>0.90100000000000002</v>
      </c>
      <c r="D26" s="4">
        <v>12.9</v>
      </c>
      <c r="E26" s="5">
        <v>42000</v>
      </c>
    </row>
    <row r="27" spans="1:5">
      <c r="A27" s="1" t="str">
        <f>VLOOKUP(B27,'País - Continente'!A:B,2,FALSE)</f>
        <v>Oceania</v>
      </c>
      <c r="B27" s="1" t="s">
        <v>127</v>
      </c>
      <c r="C27" s="4">
        <v>0.92100000000000004</v>
      </c>
      <c r="D27" s="4">
        <v>13.1</v>
      </c>
      <c r="E27" s="5">
        <v>42000</v>
      </c>
    </row>
    <row r="28" spans="1:5">
      <c r="A28" s="1" t="str">
        <f>VLOOKUP(B28,'País - Continente'!A:B,2,FALSE)</f>
        <v>Ásia</v>
      </c>
      <c r="B28" s="1" t="s">
        <v>87</v>
      </c>
      <c r="C28" s="4">
        <v>0.92500000000000004</v>
      </c>
      <c r="D28" s="4">
        <v>12.6</v>
      </c>
      <c r="E28" s="5">
        <v>40000</v>
      </c>
    </row>
    <row r="29" spans="1:5">
      <c r="A29" s="1" t="str">
        <f>VLOOKUP(B29,'País - Continente'!A:B,2,FALSE)</f>
        <v>Europa</v>
      </c>
      <c r="B29" s="1" t="s">
        <v>85</v>
      </c>
      <c r="C29" s="4">
        <v>0.89200000000000002</v>
      </c>
      <c r="D29" s="4">
        <v>12.7</v>
      </c>
      <c r="E29" s="5">
        <v>34000</v>
      </c>
    </row>
    <row r="30" spans="1:5">
      <c r="A30" s="1" t="str">
        <f>VLOOKUP(B30,'País - Continente'!A:B,2,FALSE)</f>
        <v>Ásia</v>
      </c>
      <c r="B30" s="1" t="s">
        <v>93</v>
      </c>
      <c r="C30" s="4">
        <v>0.91600000000000004</v>
      </c>
      <c r="D30" s="4">
        <v>12.6</v>
      </c>
      <c r="E30" s="5">
        <v>33000</v>
      </c>
    </row>
    <row r="31" spans="1:5">
      <c r="A31" s="1" t="str">
        <f>VLOOKUP(B31,'País - Continente'!A:B,2,FALSE)</f>
        <v>Ásia</v>
      </c>
      <c r="B31" s="1" t="s">
        <v>171</v>
      </c>
      <c r="C31" s="4">
        <v>0.90700000000000003</v>
      </c>
      <c r="D31" s="4">
        <v>12.5</v>
      </c>
      <c r="E31" s="5">
        <v>32000</v>
      </c>
    </row>
    <row r="32" spans="1:5">
      <c r="A32" s="1" t="str">
        <f>VLOOKUP(B32,'País - Continente'!A:B,2,FALSE)</f>
        <v>Europa</v>
      </c>
      <c r="B32" s="1" t="s">
        <v>164</v>
      </c>
      <c r="C32" s="4">
        <v>0.90400000000000003</v>
      </c>
      <c r="D32" s="4">
        <v>12.8</v>
      </c>
      <c r="E32" s="5">
        <v>30000</v>
      </c>
    </row>
    <row r="33" spans="1:5">
      <c r="A33" s="1" t="str">
        <f>VLOOKUP(B33,'País - Continente'!A:B,2,FALSE)</f>
        <v>Ásia</v>
      </c>
      <c r="B33" s="1" t="s">
        <v>28</v>
      </c>
      <c r="C33" s="4">
        <v>0.84499999999999997</v>
      </c>
      <c r="D33" s="4">
        <v>11.5</v>
      </c>
      <c r="E33" s="5">
        <v>29000</v>
      </c>
    </row>
    <row r="34" spans="1:5">
      <c r="A34" s="1" t="str">
        <f>VLOOKUP(B34,'País - Continente'!A:B,2,FALSE)</f>
        <v>Ásia</v>
      </c>
      <c r="B34" s="1" t="s">
        <v>94</v>
      </c>
      <c r="C34" s="4">
        <v>0.80600000000000005</v>
      </c>
      <c r="D34" s="4">
        <v>11</v>
      </c>
      <c r="E34" s="5">
        <v>29000</v>
      </c>
    </row>
    <row r="35" spans="1:5">
      <c r="A35" s="1" t="str">
        <f>VLOOKUP(B35,'País - Continente'!A:B,2,FALSE)</f>
        <v>América</v>
      </c>
      <c r="B35" s="1" t="s">
        <v>15</v>
      </c>
      <c r="C35" s="4">
        <v>0.81399999999999995</v>
      </c>
      <c r="D35" s="4">
        <v>11.5</v>
      </c>
      <c r="E35" s="5">
        <v>28000</v>
      </c>
    </row>
    <row r="36" spans="1:5">
      <c r="A36" s="1" t="str">
        <f>VLOOKUP(B36,'País - Continente'!A:B,2,FALSE)</f>
        <v>Ásia</v>
      </c>
      <c r="B36" s="1" t="s">
        <v>47</v>
      </c>
      <c r="C36" s="4">
        <v>0.88700000000000001</v>
      </c>
      <c r="D36" s="4">
        <v>12.5</v>
      </c>
      <c r="E36" s="5">
        <v>28000</v>
      </c>
    </row>
    <row r="37" spans="1:5">
      <c r="A37" s="1" t="str">
        <f>VLOOKUP(B37,'País - Continente'!A:B,2,FALSE)</f>
        <v>Europa</v>
      </c>
      <c r="B37" s="1" t="s">
        <v>110</v>
      </c>
      <c r="C37" s="4">
        <v>0.88800000000000001</v>
      </c>
      <c r="D37" s="4">
        <v>12.5</v>
      </c>
      <c r="E37" s="5">
        <v>27000</v>
      </c>
    </row>
    <row r="38" spans="1:5">
      <c r="A38" s="1" t="str">
        <f>VLOOKUP(B38,'País - Continente'!A:B,2,FALSE)</f>
        <v>Europa</v>
      </c>
      <c r="B38" s="1" t="s">
        <v>159</v>
      </c>
      <c r="C38" s="4">
        <v>0.91800000000000004</v>
      </c>
      <c r="D38" s="4">
        <v>12.9</v>
      </c>
      <c r="E38" s="5">
        <v>27000</v>
      </c>
    </row>
    <row r="39" spans="1:5">
      <c r="A39" s="1" t="str">
        <f>VLOOKUP(B39,'País - Continente'!A:B,2,FALSE)</f>
        <v>Ásia</v>
      </c>
      <c r="B39" s="1" t="s">
        <v>16</v>
      </c>
      <c r="C39" s="4">
        <v>0.85199999999999998</v>
      </c>
      <c r="D39" s="4">
        <v>11.8</v>
      </c>
      <c r="E39" s="5">
        <v>24000</v>
      </c>
    </row>
    <row r="40" spans="1:5">
      <c r="A40" s="1" t="str">
        <f>VLOOKUP(B40,'País - Continente'!A:B,2,FALSE)</f>
        <v>Europa</v>
      </c>
      <c r="B40" s="1" t="s">
        <v>58</v>
      </c>
      <c r="C40" s="4">
        <v>0.88200000000000001</v>
      </c>
      <c r="D40" s="4">
        <v>12.5</v>
      </c>
      <c r="E40" s="5">
        <v>23000</v>
      </c>
    </row>
    <row r="41" spans="1:5">
      <c r="A41" s="1" t="str">
        <f>VLOOKUP(B41,'País - Continente'!A:B,2,FALSE)</f>
        <v>Europa</v>
      </c>
      <c r="B41" s="1" t="s">
        <v>141</v>
      </c>
      <c r="C41" s="4">
        <v>0.86399999999999999</v>
      </c>
      <c r="D41" s="4">
        <v>12.6</v>
      </c>
      <c r="E41" s="5">
        <v>23000</v>
      </c>
    </row>
    <row r="42" spans="1:5">
      <c r="A42" s="1" t="str">
        <f>VLOOKUP(B42,'País - Continente'!A:B,2,FALSE)</f>
        <v>Europa</v>
      </c>
      <c r="B42" s="1" t="s">
        <v>48</v>
      </c>
      <c r="C42" s="4">
        <v>0.9</v>
      </c>
      <c r="D42" s="4">
        <v>13</v>
      </c>
      <c r="E42" s="5">
        <v>22000</v>
      </c>
    </row>
    <row r="43" spans="1:5">
      <c r="A43" s="1" t="str">
        <f>VLOOKUP(B43,'País - Continente'!A:B,2,FALSE)</f>
        <v>Ásia</v>
      </c>
      <c r="B43" s="1" t="s">
        <v>152</v>
      </c>
      <c r="C43" s="4">
        <v>0.85399999999999998</v>
      </c>
      <c r="D43" s="4">
        <v>11.2</v>
      </c>
      <c r="E43" s="5">
        <v>21000</v>
      </c>
    </row>
    <row r="44" spans="1:5">
      <c r="A44" s="1" t="str">
        <f>VLOOKUP(B44,'País - Continente'!A:B,2,FALSE)</f>
        <v>Europa</v>
      </c>
      <c r="B44" s="1" t="s">
        <v>69</v>
      </c>
      <c r="C44" s="4">
        <v>0.88800000000000001</v>
      </c>
      <c r="D44" s="4">
        <v>12.7</v>
      </c>
      <c r="E44" s="5">
        <v>20000</v>
      </c>
    </row>
    <row r="45" spans="1:5">
      <c r="A45" s="1" t="str">
        <f>VLOOKUP(B45,'País - Continente'!A:B,2,FALSE)</f>
        <v>Europa</v>
      </c>
      <c r="B45" s="1" t="s">
        <v>158</v>
      </c>
      <c r="C45" s="4">
        <v>0.85499999999999998</v>
      </c>
      <c r="D45" s="4">
        <v>12</v>
      </c>
      <c r="E45" s="5">
        <v>19000</v>
      </c>
    </row>
    <row r="46" spans="1:5">
      <c r="A46" s="1" t="str">
        <f>VLOOKUP(B46,'País - Continente'!A:B,2,FALSE)</f>
        <v>Europa</v>
      </c>
      <c r="B46" s="1" t="s">
        <v>103</v>
      </c>
      <c r="C46" s="4">
        <v>0.88500000000000001</v>
      </c>
      <c r="D46" s="4">
        <v>12.6</v>
      </c>
      <c r="E46" s="5">
        <v>18000</v>
      </c>
    </row>
    <row r="47" spans="1:5">
      <c r="A47" s="1" t="str">
        <f>VLOOKUP(B47,'País - Continente'!A:B,2,FALSE)</f>
        <v>Ásia</v>
      </c>
      <c r="B47" s="1" t="s">
        <v>132</v>
      </c>
      <c r="C47" s="4">
        <v>0.82099999999999995</v>
      </c>
      <c r="D47" s="4">
        <v>10.5</v>
      </c>
      <c r="E47" s="5">
        <v>18000</v>
      </c>
    </row>
    <row r="48" spans="1:5">
      <c r="A48" s="1" t="str">
        <f>VLOOKUP(B48,'País - Continente'!A:B,2,FALSE)</f>
        <v>África</v>
      </c>
      <c r="B48" s="1" t="s">
        <v>64</v>
      </c>
      <c r="C48" s="4">
        <v>0.70199999999999996</v>
      </c>
      <c r="D48" s="4">
        <v>8.5</v>
      </c>
      <c r="E48" s="5">
        <v>17000</v>
      </c>
    </row>
    <row r="49" spans="1:5">
      <c r="A49" s="1" t="str">
        <f>VLOOKUP(B49,'País - Continente'!A:B,2,FALSE)</f>
        <v>América</v>
      </c>
      <c r="B49" s="1" t="s">
        <v>18</v>
      </c>
      <c r="C49" s="4">
        <v>0.79</v>
      </c>
      <c r="D49" s="4">
        <v>12</v>
      </c>
      <c r="E49" s="5">
        <v>16500</v>
      </c>
    </row>
    <row r="50" spans="1:5">
      <c r="A50" s="1" t="str">
        <f>VLOOKUP(B50,'País - Continente'!A:B,2,FALSE)</f>
        <v>Europa</v>
      </c>
      <c r="B50" s="1" t="s">
        <v>140</v>
      </c>
      <c r="C50" s="4">
        <v>0.88</v>
      </c>
      <c r="D50" s="4">
        <v>12.4</v>
      </c>
      <c r="E50" s="5">
        <v>16500</v>
      </c>
    </row>
    <row r="51" spans="1:5">
      <c r="A51" s="1" t="str">
        <f>VLOOKUP(B51,'País - Continente'!A:B,2,FALSE)</f>
        <v>Europa</v>
      </c>
      <c r="B51" s="1" t="s">
        <v>77</v>
      </c>
      <c r="C51" s="4">
        <v>0.85399999999999998</v>
      </c>
      <c r="D51" s="4">
        <v>12.4</v>
      </c>
      <c r="E51" s="5">
        <v>16000</v>
      </c>
    </row>
    <row r="52" spans="1:5">
      <c r="A52" s="1" t="str">
        <f>VLOOKUP(B52,'País - Continente'!A:B,2,FALSE)</f>
        <v>América</v>
      </c>
      <c r="B52" s="1" t="s">
        <v>177</v>
      </c>
      <c r="C52" s="4">
        <v>0.79700000000000004</v>
      </c>
      <c r="D52" s="4">
        <v>11</v>
      </c>
      <c r="E52" s="5">
        <v>16000</v>
      </c>
    </row>
    <row r="53" spans="1:5">
      <c r="A53" s="1" t="str">
        <f>VLOOKUP(B53,'País - Continente'!A:B,2,FALSE)</f>
        <v>América</v>
      </c>
      <c r="B53" s="1" t="s">
        <v>187</v>
      </c>
      <c r="C53" s="4">
        <v>0.81699999999999995</v>
      </c>
      <c r="D53" s="4">
        <v>11.5</v>
      </c>
      <c r="E53" s="5">
        <v>16000</v>
      </c>
    </row>
    <row r="54" spans="1:5">
      <c r="A54" s="1" t="str">
        <f>VLOOKUP(B54,'País - Continente'!A:B,2,FALSE)</f>
        <v>América</v>
      </c>
      <c r="B54" s="1" t="s">
        <v>9</v>
      </c>
      <c r="C54" s="4">
        <v>0.77800000000000002</v>
      </c>
      <c r="D54" s="4">
        <v>11.5</v>
      </c>
      <c r="E54" s="5">
        <v>15000</v>
      </c>
    </row>
    <row r="55" spans="1:5">
      <c r="A55" s="1" t="str">
        <f>VLOOKUP(B55,'País - Continente'!A:B,2,FALSE)</f>
        <v>Europa</v>
      </c>
      <c r="B55" s="1" t="s">
        <v>97</v>
      </c>
      <c r="C55" s="4">
        <v>0.86599999999999999</v>
      </c>
      <c r="D55" s="4">
        <v>12</v>
      </c>
      <c r="E55" s="5">
        <v>15000</v>
      </c>
    </row>
    <row r="56" spans="1:5">
      <c r="A56" s="1" t="str">
        <f>VLOOKUP(B56,'País - Continente'!A:B,2,FALSE)</f>
        <v>América</v>
      </c>
      <c r="B56" s="1" t="s">
        <v>135</v>
      </c>
      <c r="C56" s="4">
        <v>0.81699999999999995</v>
      </c>
      <c r="D56" s="4">
        <v>10.5</v>
      </c>
      <c r="E56" s="5">
        <v>15000</v>
      </c>
    </row>
    <row r="57" spans="1:5">
      <c r="A57" s="1" t="str">
        <f>VLOOKUP(B57,'País - Continente'!A:B,2,FALSE)</f>
        <v>África</v>
      </c>
      <c r="B57" s="1" t="s">
        <v>155</v>
      </c>
      <c r="C57" s="4">
        <v>0.80100000000000005</v>
      </c>
      <c r="D57" s="4">
        <v>11.5</v>
      </c>
      <c r="E57" s="5">
        <v>15000</v>
      </c>
    </row>
    <row r="58" spans="1:5">
      <c r="A58" s="1" t="str">
        <f>VLOOKUP(B58,'País - Continente'!A:B,2,FALSE)</f>
        <v>América</v>
      </c>
      <c r="B58" s="1" t="s">
        <v>37</v>
      </c>
      <c r="C58" s="4">
        <v>0.85099999999999998</v>
      </c>
      <c r="D58" s="4">
        <v>11.8</v>
      </c>
      <c r="E58" s="5">
        <v>14000</v>
      </c>
    </row>
    <row r="59" spans="1:5">
      <c r="A59" s="1" t="str">
        <f>VLOOKUP(B59,'País - Continente'!A:B,2,FALSE)</f>
        <v>Europa</v>
      </c>
      <c r="B59" s="1" t="s">
        <v>45</v>
      </c>
      <c r="C59" s="4">
        <v>0.85099999999999998</v>
      </c>
      <c r="D59" s="4">
        <v>12.5</v>
      </c>
      <c r="E59" s="5">
        <v>14000</v>
      </c>
    </row>
    <row r="60" spans="1:5">
      <c r="A60" s="1" t="str">
        <f>VLOOKUP(B60,'País - Continente'!A:B,2,FALSE)</f>
        <v>Oceania</v>
      </c>
      <c r="B60" s="1" t="s">
        <v>134</v>
      </c>
      <c r="C60" s="4">
        <v>0.80100000000000005</v>
      </c>
      <c r="D60" s="4">
        <v>10.5</v>
      </c>
      <c r="E60" s="5">
        <v>14000</v>
      </c>
    </row>
    <row r="61" spans="1:5">
      <c r="A61" s="1" t="str">
        <f>VLOOKUP(B61,'País - Continente'!A:B,2,FALSE)</f>
        <v>América</v>
      </c>
      <c r="B61" s="1" t="s">
        <v>43</v>
      </c>
      <c r="C61" s="4">
        <v>0.81</v>
      </c>
      <c r="D61" s="4">
        <v>11.5</v>
      </c>
      <c r="E61" s="5">
        <v>12000</v>
      </c>
    </row>
    <row r="62" spans="1:5">
      <c r="A62" s="1" t="str">
        <f>VLOOKUP(B62,'País - Continente'!A:B,2,FALSE)</f>
        <v>Ásia</v>
      </c>
      <c r="B62" s="1" t="s">
        <v>108</v>
      </c>
      <c r="C62" s="4">
        <v>0.71899999999999997</v>
      </c>
      <c r="D62" s="4">
        <v>9.5</v>
      </c>
      <c r="E62" s="5">
        <v>12000</v>
      </c>
    </row>
    <row r="63" spans="1:5">
      <c r="A63" s="1" t="str">
        <f>VLOOKUP(B63,'País - Continente'!A:B,2,FALSE)</f>
        <v>África</v>
      </c>
      <c r="B63" s="1" t="s">
        <v>113</v>
      </c>
      <c r="C63" s="4">
        <v>0.80400000000000005</v>
      </c>
      <c r="D63" s="4">
        <v>11.5</v>
      </c>
      <c r="E63" s="5">
        <v>12000</v>
      </c>
    </row>
    <row r="64" spans="1:5">
      <c r="A64" s="1" t="str">
        <f>VLOOKUP(B64,'País - Continente'!A:B,2,FALSE)</f>
        <v>América</v>
      </c>
      <c r="B64" s="1" t="s">
        <v>146</v>
      </c>
      <c r="C64" s="4">
        <v>0.76500000000000001</v>
      </c>
      <c r="D64" s="4">
        <v>10</v>
      </c>
      <c r="E64" s="5">
        <v>12000</v>
      </c>
    </row>
    <row r="65" spans="1:5">
      <c r="A65" s="1" t="str">
        <f>VLOOKUP(B65,'País - Continente'!A:B,2,FALSE)</f>
        <v>Europa</v>
      </c>
      <c r="B65" s="1" t="s">
        <v>144</v>
      </c>
      <c r="C65" s="4">
        <v>0.82399999999999995</v>
      </c>
      <c r="D65" s="4">
        <v>11.5</v>
      </c>
      <c r="E65" s="5">
        <v>11500</v>
      </c>
    </row>
    <row r="66" spans="1:5">
      <c r="A66" s="1" t="str">
        <f>VLOOKUP(B66,'País - Continente'!A:B,2,FALSE)</f>
        <v>Ásia</v>
      </c>
      <c r="B66" s="1" t="s">
        <v>107</v>
      </c>
      <c r="C66" s="4">
        <v>0.80400000000000005</v>
      </c>
      <c r="D66" s="4">
        <v>10.5</v>
      </c>
      <c r="E66" s="5">
        <v>11000</v>
      </c>
    </row>
    <row r="67" spans="1:5">
      <c r="A67" s="1" t="str">
        <f>VLOOKUP(B67,'País - Continente'!A:B,2,FALSE)</f>
        <v>Europa</v>
      </c>
      <c r="B67" s="1" t="s">
        <v>143</v>
      </c>
      <c r="C67" s="4">
        <v>0.82799999999999996</v>
      </c>
      <c r="D67" s="4">
        <v>11.8</v>
      </c>
      <c r="E67" s="5">
        <v>11000</v>
      </c>
    </row>
    <row r="68" spans="1:5">
      <c r="A68" s="1" t="str">
        <f>VLOOKUP(B68,'País - Continente'!A:B,2,FALSE)</f>
        <v>América</v>
      </c>
      <c r="B68" s="1" t="s">
        <v>10</v>
      </c>
      <c r="C68" s="4">
        <v>0.84499999999999997</v>
      </c>
      <c r="D68" s="4">
        <v>12.5</v>
      </c>
      <c r="E68" s="5">
        <v>10500</v>
      </c>
    </row>
    <row r="69" spans="1:5">
      <c r="A69" s="1" t="str">
        <f>VLOOKUP(B69,'País - Continente'!A:B,2,FALSE)</f>
        <v>Ásia</v>
      </c>
      <c r="B69" s="1" t="s">
        <v>38</v>
      </c>
      <c r="C69" s="4">
        <v>0.76100000000000001</v>
      </c>
      <c r="D69" s="4">
        <v>8.4</v>
      </c>
      <c r="E69" s="5">
        <v>10200</v>
      </c>
    </row>
    <row r="70" spans="1:5">
      <c r="A70" s="1" t="str">
        <f>VLOOKUP(B70,'País - Continente'!A:B,2,FALSE)</f>
        <v>Oceania</v>
      </c>
      <c r="B70" s="1" t="s">
        <v>124</v>
      </c>
      <c r="C70" s="4">
        <v>0.71</v>
      </c>
      <c r="D70" s="4">
        <v>9</v>
      </c>
      <c r="E70" s="5">
        <v>10000</v>
      </c>
    </row>
    <row r="71" spans="1:5">
      <c r="A71" s="1" t="str">
        <f>VLOOKUP(B71,'País - Continente'!A:B,2,FALSE)</f>
        <v>América</v>
      </c>
      <c r="B71" s="1" t="s">
        <v>147</v>
      </c>
      <c r="C71" s="4">
        <v>0.74299999999999999</v>
      </c>
      <c r="D71" s="4">
        <v>10.5</v>
      </c>
      <c r="E71" s="5">
        <v>10000</v>
      </c>
    </row>
    <row r="72" spans="1:5">
      <c r="A72" s="1" t="str">
        <f>VLOOKUP(B72,'País - Continente'!A:B,2,FALSE)</f>
        <v>América</v>
      </c>
      <c r="B72" s="1" t="s">
        <v>114</v>
      </c>
      <c r="C72" s="4">
        <v>0.77900000000000003</v>
      </c>
      <c r="D72" s="4">
        <v>9</v>
      </c>
      <c r="E72" s="5">
        <v>9500</v>
      </c>
    </row>
    <row r="73" spans="1:5">
      <c r="A73" s="1" t="str">
        <f>VLOOKUP(B73,'País - Continente'!A:B,2,FALSE)</f>
        <v>Ásia</v>
      </c>
      <c r="B73" s="1" t="s">
        <v>179</v>
      </c>
      <c r="C73" s="4">
        <v>0.82</v>
      </c>
      <c r="D73" s="4">
        <v>8.5</v>
      </c>
      <c r="E73" s="5">
        <v>9500</v>
      </c>
    </row>
    <row r="74" spans="1:5">
      <c r="A74" s="1" t="str">
        <f>VLOOKUP(B74,'País - Continente'!A:B,2,FALSE)</f>
        <v>Europa</v>
      </c>
      <c r="B74" s="1" t="s">
        <v>29</v>
      </c>
      <c r="C74" s="4">
        <v>0.81599999999999995</v>
      </c>
      <c r="D74" s="4">
        <v>12</v>
      </c>
      <c r="E74" s="5">
        <v>9200</v>
      </c>
    </row>
    <row r="75" spans="1:5">
      <c r="A75" s="1" t="str">
        <f>VLOOKUP(B75,'País - Continente'!A:B,2,FALSE)</f>
        <v>América</v>
      </c>
      <c r="B75" s="1" t="s">
        <v>70</v>
      </c>
      <c r="C75" s="4">
        <v>0.78</v>
      </c>
      <c r="D75" s="4">
        <v>11</v>
      </c>
      <c r="E75" s="5">
        <v>9000</v>
      </c>
    </row>
    <row r="76" spans="1:5">
      <c r="A76" s="1" t="str">
        <f>VLOOKUP(B76,'País - Continente'!A:B,2,FALSE)</f>
        <v>Ásia</v>
      </c>
      <c r="B76" s="1" t="s">
        <v>89</v>
      </c>
      <c r="C76" s="4">
        <v>0.81699999999999995</v>
      </c>
      <c r="D76" s="4">
        <v>11</v>
      </c>
      <c r="E76" s="5">
        <v>9000</v>
      </c>
    </row>
    <row r="77" spans="1:5">
      <c r="A77" s="1" t="str">
        <f>VLOOKUP(B77,'País - Continente'!A:B,2,FALSE)</f>
        <v>África</v>
      </c>
      <c r="B77" s="1" t="s">
        <v>101</v>
      </c>
      <c r="C77" s="4">
        <v>0.72399999999999998</v>
      </c>
      <c r="D77" s="4">
        <v>9</v>
      </c>
      <c r="E77" s="5">
        <v>9000</v>
      </c>
    </row>
    <row r="78" spans="1:5">
      <c r="A78" s="1" t="str">
        <f>VLOOKUP(B78,'País - Continente'!A:B,2,FALSE)</f>
        <v>América</v>
      </c>
      <c r="B78" s="1" t="s">
        <v>46</v>
      </c>
      <c r="C78" s="4">
        <v>0.78300000000000003</v>
      </c>
      <c r="D78" s="4">
        <v>10.5</v>
      </c>
      <c r="E78" s="5">
        <v>8500</v>
      </c>
    </row>
    <row r="79" spans="1:5">
      <c r="A79" s="1" t="str">
        <f>VLOOKUP(B79,'País - Continente'!A:B,2,FALSE)</f>
        <v>Europa</v>
      </c>
      <c r="B79" s="1" t="s">
        <v>119</v>
      </c>
      <c r="C79" s="4">
        <v>0.82899999999999996</v>
      </c>
      <c r="D79" s="4">
        <v>11.5</v>
      </c>
      <c r="E79" s="5">
        <v>8500</v>
      </c>
    </row>
    <row r="80" spans="1:5">
      <c r="A80" s="1" t="str">
        <f>VLOOKUP(B80,'País - Continente'!A:B,2,FALSE)</f>
        <v>Europa</v>
      </c>
      <c r="B80" s="1" t="s">
        <v>154</v>
      </c>
      <c r="C80" s="4">
        <v>0.79900000000000004</v>
      </c>
      <c r="D80" s="4">
        <v>11.5</v>
      </c>
      <c r="E80" s="5">
        <v>8500</v>
      </c>
    </row>
    <row r="81" spans="1:5">
      <c r="A81" s="1" t="str">
        <f>VLOOKUP(B81,'País - Continente'!A:B,2,FALSE)</f>
        <v>América</v>
      </c>
      <c r="B81" s="1" t="s">
        <v>52</v>
      </c>
      <c r="C81" s="4">
        <v>0.745</v>
      </c>
      <c r="D81" s="4">
        <v>9.5</v>
      </c>
      <c r="E81" s="5">
        <v>8000</v>
      </c>
    </row>
    <row r="82" spans="1:5">
      <c r="A82" s="1" t="str">
        <f>VLOOKUP(B82,'País - Continente'!A:B,2,FALSE)</f>
        <v>África</v>
      </c>
      <c r="B82" s="1" t="s">
        <v>56</v>
      </c>
      <c r="C82" s="4">
        <v>0.59599999999999997</v>
      </c>
      <c r="D82" s="4">
        <v>7</v>
      </c>
      <c r="E82" s="5">
        <v>8000</v>
      </c>
    </row>
    <row r="83" spans="1:5">
      <c r="A83" s="1" t="str">
        <f>VLOOKUP(B83,'País - Continente'!A:B,2,FALSE)</f>
        <v>América</v>
      </c>
      <c r="B83" s="1" t="s">
        <v>148</v>
      </c>
      <c r="C83" s="4">
        <v>0.71799999999999997</v>
      </c>
      <c r="D83" s="4">
        <v>10</v>
      </c>
      <c r="E83" s="5">
        <v>8000</v>
      </c>
    </row>
    <row r="84" spans="1:5">
      <c r="A84" s="1" t="str">
        <f>VLOOKUP(B84,'País - Continente'!A:B,2,FALSE)</f>
        <v>América</v>
      </c>
      <c r="B84" s="1" t="s">
        <v>27</v>
      </c>
      <c r="C84" s="4">
        <v>0.76500000000000001</v>
      </c>
      <c r="D84" s="4">
        <v>9.5</v>
      </c>
      <c r="E84" s="5">
        <v>7900</v>
      </c>
    </row>
    <row r="85" spans="1:5">
      <c r="A85" s="1" t="str">
        <f>VLOOKUP(B85,'País - Continente'!A:B,2,FALSE)</f>
        <v>Europa</v>
      </c>
      <c r="B85" s="1" t="s">
        <v>19</v>
      </c>
      <c r="C85" s="4">
        <v>0.81699999999999995</v>
      </c>
      <c r="D85" s="4">
        <v>12.5</v>
      </c>
      <c r="E85" s="5">
        <v>7500</v>
      </c>
    </row>
    <row r="86" spans="1:5">
      <c r="A86" s="1" t="str">
        <f>VLOOKUP(B86,'País - Continente'!A:B,2,FALSE)</f>
        <v>Ásia</v>
      </c>
      <c r="B86" s="1" t="s">
        <v>180</v>
      </c>
      <c r="C86" s="4">
        <v>0.71699999999999997</v>
      </c>
      <c r="D86" s="4">
        <v>9</v>
      </c>
      <c r="E86" s="5">
        <v>7000</v>
      </c>
    </row>
    <row r="87" spans="1:5">
      <c r="A87" s="1" t="str">
        <f>VLOOKUP(B87,'País - Continente'!A:B,2,FALSE)</f>
        <v>África</v>
      </c>
      <c r="B87" s="1" t="s">
        <v>26</v>
      </c>
      <c r="C87" s="4">
        <v>0.73499999999999999</v>
      </c>
      <c r="D87" s="4">
        <v>9.5</v>
      </c>
      <c r="E87" s="5">
        <v>6800</v>
      </c>
    </row>
    <row r="88" spans="1:5">
      <c r="A88" s="1" t="str">
        <f>VLOOKUP(B88,'País - Continente'!A:B,2,FALSE)</f>
        <v>América</v>
      </c>
      <c r="B88" s="1" t="s">
        <v>138</v>
      </c>
      <c r="C88" s="4">
        <v>0.77700000000000002</v>
      </c>
      <c r="D88" s="4">
        <v>10</v>
      </c>
      <c r="E88" s="5">
        <v>6800</v>
      </c>
    </row>
    <row r="89" spans="1:5">
      <c r="A89" s="1" t="str">
        <f>VLOOKUP(B89,'País - Continente'!A:B,2,FALSE)</f>
        <v>Ásia</v>
      </c>
      <c r="B89" s="1" t="s">
        <v>174</v>
      </c>
      <c r="C89" s="4">
        <v>0.77700000000000002</v>
      </c>
      <c r="D89" s="4">
        <v>8.5</v>
      </c>
      <c r="E89" s="5">
        <v>6800</v>
      </c>
    </row>
    <row r="90" spans="1:5">
      <c r="A90" s="1" t="str">
        <f>VLOOKUP(B90,'País - Continente'!A:B,2,FALSE)</f>
        <v>América</v>
      </c>
      <c r="B90" s="1" t="s">
        <v>39</v>
      </c>
      <c r="C90" s="4">
        <v>0.76700000000000002</v>
      </c>
      <c r="D90" s="4">
        <v>10.5</v>
      </c>
      <c r="E90" s="5">
        <v>6700</v>
      </c>
    </row>
    <row r="91" spans="1:5">
      <c r="A91" s="1" t="str">
        <f>VLOOKUP(B91,'País - Continente'!A:B,2,FALSE)</f>
        <v>Europa</v>
      </c>
      <c r="B91" s="1" t="s">
        <v>25</v>
      </c>
      <c r="C91" s="4">
        <v>0.76800000000000002</v>
      </c>
      <c r="D91" s="4">
        <v>11</v>
      </c>
      <c r="E91" s="5">
        <v>6500</v>
      </c>
    </row>
    <row r="92" spans="1:5">
      <c r="A92" s="1" t="str">
        <f>VLOOKUP(B92,'País - Continente'!A:B,2,FALSE)</f>
        <v>América</v>
      </c>
      <c r="B92" s="1" t="s">
        <v>51</v>
      </c>
      <c r="C92" s="4">
        <v>0.72499999999999998</v>
      </c>
      <c r="D92" s="4">
        <v>10</v>
      </c>
      <c r="E92" s="5">
        <v>6500</v>
      </c>
    </row>
    <row r="93" spans="1:5">
      <c r="A93" s="1" t="str">
        <f>VLOOKUP(B93,'País - Continente'!A:B,2,FALSE)</f>
        <v>Ásia</v>
      </c>
      <c r="B93" s="1" t="s">
        <v>98</v>
      </c>
      <c r="C93" s="4">
        <v>0.74399999999999999</v>
      </c>
      <c r="D93" s="4">
        <v>11</v>
      </c>
      <c r="E93" s="5">
        <v>6500</v>
      </c>
    </row>
    <row r="94" spans="1:5">
      <c r="A94" s="1" t="str">
        <f>VLOOKUP(B94,'País - Continente'!A:B,2,FALSE)</f>
        <v>América</v>
      </c>
      <c r="B94" s="1" t="s">
        <v>53</v>
      </c>
      <c r="C94" s="4">
        <v>0.75900000000000001</v>
      </c>
      <c r="D94" s="4">
        <v>9.5</v>
      </c>
      <c r="E94" s="5">
        <v>6000</v>
      </c>
    </row>
    <row r="95" spans="1:5">
      <c r="A95" s="1" t="str">
        <f>VLOOKUP(B95,'País - Continente'!A:B,2,FALSE)</f>
        <v>Oceania</v>
      </c>
      <c r="B95" s="1" t="s">
        <v>61</v>
      </c>
      <c r="C95" s="4">
        <v>0.74299999999999999</v>
      </c>
      <c r="D95" s="4">
        <v>9.5</v>
      </c>
      <c r="E95" s="5">
        <v>6000</v>
      </c>
    </row>
    <row r="96" spans="1:5">
      <c r="A96" s="1" t="str">
        <f>VLOOKUP(B96,'País - Continente'!A:B,2,FALSE)</f>
        <v>América</v>
      </c>
      <c r="B96" s="1" t="s">
        <v>74</v>
      </c>
      <c r="C96" s="4">
        <v>0.67</v>
      </c>
      <c r="D96" s="4">
        <v>9</v>
      </c>
      <c r="E96" s="5">
        <v>6000</v>
      </c>
    </row>
    <row r="97" spans="1:5">
      <c r="A97" s="1" t="str">
        <f>VLOOKUP(B97,'País - Continente'!A:B,2,FALSE)</f>
        <v>África</v>
      </c>
      <c r="B97" s="1" t="s">
        <v>162</v>
      </c>
      <c r="C97" s="4">
        <v>0.70699999999999996</v>
      </c>
      <c r="D97" s="4">
        <v>9.5</v>
      </c>
      <c r="E97" s="5">
        <v>6000</v>
      </c>
    </row>
    <row r="98" spans="1:5">
      <c r="A98" s="1" t="str">
        <f>VLOOKUP(B98,'País - Continente'!A:B,2,FALSE)</f>
        <v>América</v>
      </c>
      <c r="B98" s="1" t="s">
        <v>191</v>
      </c>
      <c r="C98" s="4">
        <v>0.71099999999999997</v>
      </c>
      <c r="D98" s="4">
        <v>9</v>
      </c>
      <c r="E98" s="5">
        <v>6000</v>
      </c>
    </row>
    <row r="99" spans="1:5">
      <c r="A99" s="1" t="str">
        <f>VLOOKUP(B99,'País - Continente'!A:B,2,FALSE)</f>
        <v>Europa</v>
      </c>
      <c r="B99" s="1" t="s">
        <v>5</v>
      </c>
      <c r="C99" s="4">
        <v>0.79500000000000004</v>
      </c>
      <c r="D99" s="4">
        <v>12</v>
      </c>
      <c r="E99" s="5">
        <v>5500</v>
      </c>
    </row>
    <row r="100" spans="1:5">
      <c r="A100" s="1" t="str">
        <f>VLOOKUP(B100,'País - Continente'!A:B,2,FALSE)</f>
        <v>Ásia</v>
      </c>
      <c r="B100" s="1" t="s">
        <v>81</v>
      </c>
      <c r="C100" s="4">
        <v>0.78300000000000003</v>
      </c>
      <c r="D100" s="4">
        <v>9.5</v>
      </c>
      <c r="E100" s="5">
        <v>5500</v>
      </c>
    </row>
    <row r="101" spans="1:5">
      <c r="A101" s="1" t="str">
        <f>VLOOKUP(B101,'País - Continente'!A:B,2,FALSE)</f>
        <v>África</v>
      </c>
      <c r="B101" s="1" t="s">
        <v>123</v>
      </c>
      <c r="C101" s="4">
        <v>0.64600000000000002</v>
      </c>
      <c r="D101" s="4">
        <v>8</v>
      </c>
      <c r="E101" s="5">
        <v>5500</v>
      </c>
    </row>
    <row r="102" spans="1:5">
      <c r="A102" s="1" t="str">
        <f>VLOOKUP(B102,'País - Continente'!A:B,2,FALSE)</f>
        <v>América</v>
      </c>
      <c r="B102" s="1" t="s">
        <v>167</v>
      </c>
      <c r="C102" s="4">
        <v>0.71599999999999997</v>
      </c>
      <c r="D102" s="4">
        <v>9.5</v>
      </c>
      <c r="E102" s="5">
        <v>5500</v>
      </c>
    </row>
    <row r="103" spans="1:5">
      <c r="A103" s="1" t="str">
        <f>VLOOKUP(B103,'País - Continente'!A:B,2,FALSE)</f>
        <v>América</v>
      </c>
      <c r="B103" s="1" t="s">
        <v>86</v>
      </c>
      <c r="C103" s="4">
        <v>0.72599999999999998</v>
      </c>
      <c r="D103" s="4">
        <v>10</v>
      </c>
      <c r="E103" s="5">
        <v>5300</v>
      </c>
    </row>
    <row r="104" spans="1:5">
      <c r="A104" s="1" t="str">
        <f>VLOOKUP(B104,'País - Continente'!A:B,2,FALSE)</f>
        <v>América</v>
      </c>
      <c r="B104" s="1" t="s">
        <v>21</v>
      </c>
      <c r="C104" s="4">
        <v>0.72</v>
      </c>
      <c r="D104" s="4">
        <v>9</v>
      </c>
      <c r="E104" s="5">
        <v>5000</v>
      </c>
    </row>
    <row r="105" spans="1:5">
      <c r="A105" s="1" t="str">
        <f>VLOOKUP(B105,'País - Continente'!A:B,2,FALSE)</f>
        <v>Ásia</v>
      </c>
      <c r="B105" s="1" t="s">
        <v>82</v>
      </c>
      <c r="C105" s="4">
        <v>0.67400000000000004</v>
      </c>
      <c r="D105" s="4">
        <v>9</v>
      </c>
      <c r="E105" s="5">
        <v>5000</v>
      </c>
    </row>
    <row r="106" spans="1:5">
      <c r="A106" s="1" t="str">
        <f>VLOOKUP(B106,'País - Continente'!A:B,2,FALSE)</f>
        <v>Ásia</v>
      </c>
      <c r="B106" s="1" t="s">
        <v>14</v>
      </c>
      <c r="C106" s="4">
        <v>0.75600000000000001</v>
      </c>
      <c r="D106" s="4">
        <v>11</v>
      </c>
      <c r="E106" s="5">
        <v>4800</v>
      </c>
    </row>
    <row r="107" spans="1:5">
      <c r="A107" s="1" t="str">
        <f>VLOOKUP(B107,'País - Continente'!A:B,2,FALSE)</f>
        <v>África</v>
      </c>
      <c r="B107" s="1" t="s">
        <v>59</v>
      </c>
      <c r="C107" s="4">
        <v>0.60799999999999998</v>
      </c>
      <c r="D107" s="4">
        <v>8</v>
      </c>
      <c r="E107" s="5">
        <v>4500</v>
      </c>
    </row>
    <row r="108" spans="1:5">
      <c r="A108" s="1" t="str">
        <f>VLOOKUP(B108,'País - Continente'!A:B,2,FALSE)</f>
        <v>América</v>
      </c>
      <c r="B108" s="1" t="s">
        <v>71</v>
      </c>
      <c r="C108" s="4">
        <v>0.65100000000000002</v>
      </c>
      <c r="D108" s="4">
        <v>7.5</v>
      </c>
      <c r="E108" s="5">
        <v>4500</v>
      </c>
    </row>
    <row r="109" spans="1:5">
      <c r="A109" s="1" t="str">
        <f>VLOOKUP(B109,'País - Continente'!A:B,2,FALSE)</f>
        <v>América</v>
      </c>
      <c r="B109" s="1" t="s">
        <v>137</v>
      </c>
      <c r="C109" s="4">
        <v>0.72399999999999998</v>
      </c>
      <c r="D109" s="4">
        <v>9</v>
      </c>
      <c r="E109" s="5">
        <v>4500</v>
      </c>
    </row>
    <row r="110" spans="1:5">
      <c r="A110" s="1" t="str">
        <f>VLOOKUP(B110,'País - Continente'!A:B,2,FALSE)</f>
        <v>Oceania</v>
      </c>
      <c r="B110" s="1" t="s">
        <v>176</v>
      </c>
      <c r="C110" s="4">
        <v>0.71699999999999997</v>
      </c>
      <c r="D110" s="4">
        <v>9</v>
      </c>
      <c r="E110" s="5">
        <v>4500</v>
      </c>
    </row>
    <row r="111" spans="1:5">
      <c r="A111" s="1" t="str">
        <f>VLOOKUP(B111,'País - Continente'!A:B,2,FALSE)</f>
        <v>Europa</v>
      </c>
      <c r="B111" s="1" t="s">
        <v>183</v>
      </c>
      <c r="C111" s="4">
        <v>0.77900000000000003</v>
      </c>
      <c r="D111" s="4">
        <v>10.5</v>
      </c>
      <c r="E111" s="5">
        <v>4500</v>
      </c>
    </row>
    <row r="112" spans="1:5">
      <c r="A112" s="1" t="str">
        <f>VLOOKUP(B112,'País - Continente'!A:B,2,FALSE)</f>
        <v>Ásia</v>
      </c>
      <c r="B112" s="1" t="s">
        <v>11</v>
      </c>
      <c r="C112" s="4">
        <v>0.77600000000000002</v>
      </c>
      <c r="D112" s="4">
        <v>11</v>
      </c>
      <c r="E112" s="5">
        <v>4400</v>
      </c>
    </row>
    <row r="113" spans="1:5">
      <c r="A113" s="1" t="str">
        <f>VLOOKUP(B113,'País - Continente'!A:B,2,FALSE)</f>
        <v>América</v>
      </c>
      <c r="B113" s="1" t="s">
        <v>55</v>
      </c>
      <c r="C113" s="4">
        <v>0.67300000000000004</v>
      </c>
      <c r="D113" s="4">
        <v>8.5</v>
      </c>
      <c r="E113" s="5">
        <v>4200</v>
      </c>
    </row>
    <row r="114" spans="1:5">
      <c r="A114" s="1" t="str">
        <f>VLOOKUP(B114,'País - Continente'!A:B,2,FALSE)</f>
        <v>Ásia</v>
      </c>
      <c r="B114" s="1" t="s">
        <v>66</v>
      </c>
      <c r="C114" s="4">
        <v>0.78600000000000003</v>
      </c>
      <c r="D114" s="4">
        <v>11</v>
      </c>
      <c r="E114" s="5">
        <v>4200</v>
      </c>
    </row>
    <row r="115" spans="1:5">
      <c r="A115" s="1" t="str">
        <f>VLOOKUP(B115,'País - Continente'!A:B,2,FALSE)</f>
        <v>Ásia</v>
      </c>
      <c r="B115" s="1" t="s">
        <v>80</v>
      </c>
      <c r="C115" s="4">
        <v>0.71799999999999997</v>
      </c>
      <c r="D115" s="4">
        <v>8</v>
      </c>
      <c r="E115" s="5">
        <v>4200</v>
      </c>
    </row>
    <row r="116" spans="1:5">
      <c r="A116" s="1" t="str">
        <f>VLOOKUP(B116,'País - Continente'!A:B,2,FALSE)</f>
        <v>Ásia</v>
      </c>
      <c r="B116" s="1" t="s">
        <v>88</v>
      </c>
      <c r="C116" s="4">
        <v>0.74299999999999999</v>
      </c>
      <c r="D116" s="4">
        <v>10</v>
      </c>
      <c r="E116" s="5">
        <v>4200</v>
      </c>
    </row>
    <row r="117" spans="1:5">
      <c r="A117" s="1" t="str">
        <f>VLOOKUP(B117,'País - Continente'!A:B,2,FALSE)</f>
        <v>África</v>
      </c>
      <c r="B117" s="1" t="s">
        <v>6</v>
      </c>
      <c r="C117" s="4">
        <v>0.748</v>
      </c>
      <c r="D117" s="4">
        <v>10</v>
      </c>
      <c r="E117" s="5">
        <v>4000</v>
      </c>
    </row>
    <row r="118" spans="1:5">
      <c r="A118" s="1" t="str">
        <f>VLOOKUP(B118,'País - Continente'!A:B,2,FALSE)</f>
        <v>Ásia</v>
      </c>
      <c r="B118" s="1" t="s">
        <v>118</v>
      </c>
      <c r="C118" s="4">
        <v>0.73699999999999999</v>
      </c>
      <c r="D118" s="4">
        <v>9.5</v>
      </c>
      <c r="E118" s="5">
        <v>4000</v>
      </c>
    </row>
    <row r="119" spans="1:5">
      <c r="A119" s="1" t="str">
        <f>VLOOKUP(B119,'País - Continente'!A:B,2,FALSE)</f>
        <v>Oceania</v>
      </c>
      <c r="B119" s="1" t="s">
        <v>149</v>
      </c>
      <c r="C119" s="4">
        <v>0.71199999999999997</v>
      </c>
      <c r="D119" s="4">
        <v>8.5</v>
      </c>
      <c r="E119" s="5">
        <v>4000</v>
      </c>
    </row>
    <row r="120" spans="1:5">
      <c r="A120" s="1" t="str">
        <f>VLOOKUP(B120,'País - Continente'!A:B,2,FALSE)</f>
        <v>Ásia</v>
      </c>
      <c r="B120" s="1" t="s">
        <v>165</v>
      </c>
      <c r="C120" s="4">
        <v>0.78200000000000003</v>
      </c>
      <c r="D120" s="4">
        <v>10.5</v>
      </c>
      <c r="E120" s="5">
        <v>4000</v>
      </c>
    </row>
    <row r="121" spans="1:5">
      <c r="A121" s="1" t="str">
        <f>VLOOKUP(B121,'País - Continente'!A:B,2,FALSE)</f>
        <v>Oceania</v>
      </c>
      <c r="B121" s="1" t="s">
        <v>181</v>
      </c>
      <c r="C121" s="4">
        <v>0.71499999999999997</v>
      </c>
      <c r="D121" s="4">
        <v>8.5</v>
      </c>
      <c r="E121" s="5">
        <v>4000</v>
      </c>
    </row>
    <row r="122" spans="1:5">
      <c r="A122" s="1" t="str">
        <f>VLOOKUP(B122,'País - Continente'!A:B,2,FALSE)</f>
        <v>África</v>
      </c>
      <c r="B122" s="1" t="s">
        <v>178</v>
      </c>
      <c r="C122" s="4">
        <v>0.73799999999999999</v>
      </c>
      <c r="D122" s="4">
        <v>9.5</v>
      </c>
      <c r="E122" s="5">
        <v>3900</v>
      </c>
    </row>
    <row r="123" spans="1:5">
      <c r="A123" s="1" t="str">
        <f>VLOOKUP(B123,'País - Continente'!A:B,2,FALSE)</f>
        <v>América</v>
      </c>
      <c r="B123" s="1" t="s">
        <v>24</v>
      </c>
      <c r="C123" s="4">
        <v>0.70299999999999996</v>
      </c>
      <c r="D123" s="4">
        <v>10</v>
      </c>
      <c r="E123" s="5">
        <v>3600</v>
      </c>
    </row>
    <row r="124" spans="1:5">
      <c r="A124" s="1" t="str">
        <f>VLOOKUP(B124,'País - Continente'!A:B,2,FALSE)</f>
        <v>Oceania</v>
      </c>
      <c r="B124" s="1" t="s">
        <v>111</v>
      </c>
      <c r="C124" s="4">
        <v>0.70299999999999996</v>
      </c>
      <c r="D124" s="4">
        <v>9</v>
      </c>
      <c r="E124" s="5">
        <v>3500</v>
      </c>
    </row>
    <row r="125" spans="1:5">
      <c r="A125" s="1" t="str">
        <f>VLOOKUP(B125,'País - Continente'!A:B,2,FALSE)</f>
        <v>Ásia</v>
      </c>
      <c r="B125" s="1" t="s">
        <v>139</v>
      </c>
      <c r="C125" s="4">
        <v>0.71799999999999997</v>
      </c>
      <c r="D125" s="4">
        <v>8.5</v>
      </c>
      <c r="E125" s="5">
        <v>3500</v>
      </c>
    </row>
    <row r="126" spans="1:5">
      <c r="A126" s="1" t="str">
        <f>VLOOKUP(B126,'País - Continente'!A:B,2,FALSE)</f>
        <v>Ásia</v>
      </c>
      <c r="B126" s="1" t="s">
        <v>192</v>
      </c>
      <c r="C126" s="4">
        <v>0.70399999999999996</v>
      </c>
      <c r="D126" s="4">
        <v>8.5</v>
      </c>
      <c r="E126" s="5">
        <v>3500</v>
      </c>
    </row>
    <row r="127" spans="1:5">
      <c r="A127" s="1" t="str">
        <f>VLOOKUP(B127,'País - Continente'!A:B,2,FALSE)</f>
        <v>África</v>
      </c>
      <c r="B127" s="1" t="s">
        <v>32</v>
      </c>
      <c r="C127" s="4">
        <v>0.65400000000000003</v>
      </c>
      <c r="D127" s="4">
        <v>8</v>
      </c>
      <c r="E127" s="5">
        <v>3300</v>
      </c>
    </row>
    <row r="128" spans="1:5">
      <c r="A128" s="1" t="str">
        <f>VLOOKUP(B128,'País - Continente'!A:B,2,FALSE)</f>
        <v>África</v>
      </c>
      <c r="B128" s="1" t="s">
        <v>54</v>
      </c>
      <c r="C128" s="4">
        <v>0.70699999999999996</v>
      </c>
      <c r="D128" s="4">
        <v>8</v>
      </c>
      <c r="E128" s="5">
        <v>3200</v>
      </c>
    </row>
    <row r="129" spans="1:5">
      <c r="A129" s="1" t="str">
        <f>VLOOKUP(B129,'País - Continente'!A:B,2,FALSE)</f>
        <v>África</v>
      </c>
      <c r="B129" s="1" t="s">
        <v>120</v>
      </c>
      <c r="C129" s="4">
        <v>0.68600000000000005</v>
      </c>
      <c r="D129" s="4">
        <v>8</v>
      </c>
      <c r="E129" s="5">
        <v>3200</v>
      </c>
    </row>
    <row r="130" spans="1:5">
      <c r="A130" s="1" t="str">
        <f>VLOOKUP(B130,'País - Continente'!A:B,2,FALSE)</f>
        <v>Ásia</v>
      </c>
      <c r="B130" s="1" t="s">
        <v>23</v>
      </c>
      <c r="C130" s="4">
        <v>0.65400000000000003</v>
      </c>
      <c r="D130" s="4">
        <v>8</v>
      </c>
      <c r="E130" s="5">
        <v>3100</v>
      </c>
    </row>
    <row r="131" spans="1:5">
      <c r="A131" s="1" t="str">
        <f>VLOOKUP(B131,'País - Continente'!A:B,2,FALSE)</f>
        <v>África</v>
      </c>
      <c r="B131" s="1" t="s">
        <v>8</v>
      </c>
      <c r="C131" s="4">
        <v>0.58099999999999996</v>
      </c>
      <c r="D131" s="4">
        <v>6</v>
      </c>
      <c r="E131" s="5">
        <v>3000</v>
      </c>
    </row>
    <row r="132" spans="1:5">
      <c r="A132" s="1" t="e">
        <f>VLOOKUP(B132,'País - Continente'!A:B,2,FALSE)</f>
        <v>#N/A</v>
      </c>
      <c r="B132" s="1" t="s">
        <v>115</v>
      </c>
      <c r="C132" s="4">
        <v>0.628</v>
      </c>
      <c r="D132" s="4">
        <v>8</v>
      </c>
      <c r="E132" s="5">
        <v>3000</v>
      </c>
    </row>
    <row r="133" spans="1:5">
      <c r="A133" s="1" t="str">
        <f>VLOOKUP(B133,'País - Continente'!A:B,2,FALSE)</f>
        <v>América</v>
      </c>
      <c r="B133" s="1" t="s">
        <v>76</v>
      </c>
      <c r="C133" s="4">
        <v>0.63400000000000001</v>
      </c>
      <c r="D133" s="4">
        <v>7</v>
      </c>
      <c r="E133" s="5">
        <v>2900</v>
      </c>
    </row>
    <row r="134" spans="1:5">
      <c r="A134" s="1" t="str">
        <f>VLOOKUP(B134,'País - Continente'!A:B,2,FALSE)</f>
        <v>Europa</v>
      </c>
      <c r="B134" s="1" t="s">
        <v>116</v>
      </c>
      <c r="C134" s="4">
        <v>0.71099999999999997</v>
      </c>
      <c r="D134" s="4">
        <v>10.5</v>
      </c>
      <c r="E134" s="5">
        <v>2800</v>
      </c>
    </row>
    <row r="135" spans="1:5">
      <c r="A135" s="1" t="str">
        <f>VLOOKUP(B135,'País - Continente'!A:B,2,FALSE)</f>
        <v>Oceania</v>
      </c>
      <c r="B135" s="1" t="s">
        <v>136</v>
      </c>
      <c r="C135" s="4">
        <v>0.54400000000000004</v>
      </c>
      <c r="D135" s="4">
        <v>6</v>
      </c>
      <c r="E135" s="5">
        <v>2500</v>
      </c>
    </row>
    <row r="136" spans="1:5">
      <c r="A136" s="1" t="str">
        <f>VLOOKUP(B136,'País - Continente'!A:B,2,FALSE)</f>
        <v>Oceania</v>
      </c>
      <c r="B136" s="1" t="s">
        <v>189</v>
      </c>
      <c r="C136" s="4">
        <v>0.61699999999999999</v>
      </c>
      <c r="D136" s="4">
        <v>7.5</v>
      </c>
      <c r="E136" s="5">
        <v>2500</v>
      </c>
    </row>
    <row r="137" spans="1:5">
      <c r="A137" s="1" t="str">
        <f>VLOOKUP(B137,'País - Continente'!A:B,2,FALSE)</f>
        <v>África</v>
      </c>
      <c r="B137" s="1" t="s">
        <v>41</v>
      </c>
      <c r="C137" s="4">
        <v>0.60099999999999998</v>
      </c>
      <c r="D137" s="4">
        <v>6</v>
      </c>
      <c r="E137" s="5">
        <v>2400</v>
      </c>
    </row>
    <row r="138" spans="1:5">
      <c r="A138" s="1" t="str">
        <f>VLOOKUP(B138,'País - Continente'!A:B,2,FALSE)</f>
        <v>África</v>
      </c>
      <c r="B138" s="1" t="s">
        <v>68</v>
      </c>
      <c r="C138" s="4">
        <v>0.61099999999999999</v>
      </c>
      <c r="D138" s="4">
        <v>7</v>
      </c>
      <c r="E138" s="5">
        <v>2400</v>
      </c>
    </row>
    <row r="139" spans="1:5">
      <c r="A139" s="1" t="str">
        <f>VLOOKUP(B139,'País - Continente'!A:B,2,FALSE)</f>
        <v>Ásia</v>
      </c>
      <c r="B139" s="1" t="s">
        <v>96</v>
      </c>
      <c r="C139" s="4">
        <v>0.60199999999999998</v>
      </c>
      <c r="D139" s="4">
        <v>7</v>
      </c>
      <c r="E139" s="5">
        <v>2400</v>
      </c>
    </row>
    <row r="140" spans="1:5">
      <c r="A140" s="1" t="str">
        <f>VLOOKUP(B140,'País - Continente'!A:B,2,FALSE)</f>
        <v>Oceania</v>
      </c>
      <c r="B140" s="1" t="s">
        <v>160</v>
      </c>
      <c r="C140" s="4">
        <v>0.56000000000000005</v>
      </c>
      <c r="D140" s="4">
        <v>7</v>
      </c>
      <c r="E140" s="5">
        <v>2300</v>
      </c>
    </row>
    <row r="141" spans="1:5">
      <c r="A141" s="1" t="str">
        <f>VLOOKUP(B141,'País - Continente'!A:B,2,FALSE)</f>
        <v>Ásia</v>
      </c>
      <c r="B141" s="1" t="s">
        <v>17</v>
      </c>
      <c r="C141" s="4">
        <v>0.66100000000000003</v>
      </c>
      <c r="D141" s="4">
        <v>7.5</v>
      </c>
      <c r="E141" s="5">
        <v>2200</v>
      </c>
    </row>
    <row r="142" spans="1:5">
      <c r="A142" s="1" t="str">
        <f>VLOOKUP(B142,'País - Continente'!A:B,2,FALSE)</f>
        <v>Ásia</v>
      </c>
      <c r="B142" s="1" t="s">
        <v>79</v>
      </c>
      <c r="C142" s="4">
        <v>0.64500000000000002</v>
      </c>
      <c r="D142" s="4">
        <v>6.5</v>
      </c>
      <c r="E142" s="5">
        <v>2200</v>
      </c>
    </row>
    <row r="143" spans="1:5">
      <c r="A143" s="1" t="str">
        <f>VLOOKUP(B143,'País - Continente'!A:B,2,FALSE)</f>
        <v>América</v>
      </c>
      <c r="B143" s="1" t="s">
        <v>128</v>
      </c>
      <c r="C143" s="4">
        <v>0.65100000000000002</v>
      </c>
      <c r="D143" s="4">
        <v>7.5</v>
      </c>
      <c r="E143" s="5">
        <v>2200</v>
      </c>
    </row>
    <row r="144" spans="1:5">
      <c r="A144" s="1" t="str">
        <f>VLOOKUP(B144,'País - Continente'!A:B,2,FALSE)</f>
        <v>África</v>
      </c>
      <c r="B144" s="1" t="s">
        <v>130</v>
      </c>
      <c r="C144" s="4">
        <v>0.53900000000000003</v>
      </c>
      <c r="D144" s="4">
        <v>6</v>
      </c>
      <c r="E144" s="5">
        <v>2200</v>
      </c>
    </row>
    <row r="145" spans="1:5">
      <c r="A145" s="1" t="str">
        <f>VLOOKUP(B145,'País - Continente'!A:B,2,FALSE)</f>
        <v>África</v>
      </c>
      <c r="B145" s="1" t="s">
        <v>145</v>
      </c>
      <c r="C145" s="4">
        <v>0.54300000000000004</v>
      </c>
      <c r="D145" s="4">
        <v>7</v>
      </c>
      <c r="E145" s="5">
        <v>2100</v>
      </c>
    </row>
    <row r="146" spans="1:5">
      <c r="A146" s="1" t="str">
        <f>VLOOKUP(B146,'País - Continente'!A:B,2,FALSE)</f>
        <v>África</v>
      </c>
      <c r="B146" s="1" t="s">
        <v>50</v>
      </c>
      <c r="C146" s="4">
        <v>0.54100000000000004</v>
      </c>
      <c r="D146" s="4">
        <v>6</v>
      </c>
      <c r="E146" s="5">
        <v>2000</v>
      </c>
    </row>
    <row r="147" spans="1:5">
      <c r="A147" s="1" t="str">
        <f>VLOOKUP(B147,'País - Continente'!A:B,2,FALSE)</f>
        <v>África</v>
      </c>
      <c r="B147" s="1" t="s">
        <v>151</v>
      </c>
      <c r="C147" s="4">
        <v>0.58699999999999997</v>
      </c>
      <c r="D147" s="4">
        <v>7</v>
      </c>
      <c r="E147" s="5">
        <v>2000</v>
      </c>
    </row>
    <row r="148" spans="1:5">
      <c r="A148" s="1" t="str">
        <f>VLOOKUP(B148,'País - Continente'!A:B,2,FALSE)</f>
        <v>Ásia</v>
      </c>
      <c r="B148" s="1" t="s">
        <v>170</v>
      </c>
      <c r="C148" s="4">
        <v>0.53600000000000003</v>
      </c>
      <c r="D148" s="4">
        <v>7</v>
      </c>
      <c r="E148" s="5">
        <v>2000</v>
      </c>
    </row>
    <row r="149" spans="1:5">
      <c r="A149" s="1" t="str">
        <f>VLOOKUP(B149,'País - Continente'!A:B,2,FALSE)</f>
        <v>África</v>
      </c>
      <c r="B149" s="1" t="s">
        <v>90</v>
      </c>
      <c r="C149" s="4">
        <v>0.60099999999999998</v>
      </c>
      <c r="D149" s="4">
        <v>6.5</v>
      </c>
      <c r="E149" s="5">
        <v>1900</v>
      </c>
    </row>
    <row r="150" spans="1:5">
      <c r="A150" s="1" t="str">
        <f>VLOOKUP(B150,'País - Continente'!A:B,2,FALSE)</f>
        <v>Ásia</v>
      </c>
      <c r="B150" s="1" t="s">
        <v>188</v>
      </c>
      <c r="C150" s="4">
        <v>0.73599999999999999</v>
      </c>
      <c r="D150" s="4">
        <v>9.5</v>
      </c>
      <c r="E150" s="5">
        <v>1900</v>
      </c>
    </row>
    <row r="151" spans="1:5">
      <c r="A151" s="1" t="str">
        <f>VLOOKUP(B151,'País - Continente'!A:B,2,FALSE)</f>
        <v>África</v>
      </c>
      <c r="B151" s="1" t="s">
        <v>44</v>
      </c>
      <c r="C151" s="4">
        <v>0.54500000000000004</v>
      </c>
      <c r="D151" s="4">
        <v>6</v>
      </c>
      <c r="E151" s="5">
        <v>1800</v>
      </c>
    </row>
    <row r="152" spans="1:5">
      <c r="A152" s="1" t="str">
        <f>VLOOKUP(B152,'País - Continente'!A:B,2,FALSE)</f>
        <v>Ásia</v>
      </c>
      <c r="B152" s="1" t="s">
        <v>92</v>
      </c>
      <c r="C152" s="4">
        <v>0.73</v>
      </c>
      <c r="D152" s="4">
        <v>10</v>
      </c>
      <c r="E152" s="5">
        <v>1800</v>
      </c>
    </row>
    <row r="153" spans="1:5">
      <c r="A153" s="1" t="str">
        <f>VLOOKUP(B153,'País - Continente'!A:B,2,FALSE)</f>
        <v>África</v>
      </c>
      <c r="B153" s="1" t="s">
        <v>195</v>
      </c>
      <c r="C153" s="4">
        <v>0.57099999999999995</v>
      </c>
      <c r="D153" s="4">
        <v>8</v>
      </c>
      <c r="E153" s="5">
        <v>1800</v>
      </c>
    </row>
    <row r="154" spans="1:5">
      <c r="A154" s="1" t="str">
        <f>VLOOKUP(B154,'País - Continente'!A:B,2,FALSE)</f>
        <v>Oceania</v>
      </c>
      <c r="B154" s="1" t="s">
        <v>91</v>
      </c>
      <c r="C154" s="4">
        <v>0.61799999999999999</v>
      </c>
      <c r="D154" s="4">
        <v>7</v>
      </c>
      <c r="E154" s="5">
        <v>1700</v>
      </c>
    </row>
    <row r="155" spans="1:5">
      <c r="A155" s="1" t="str">
        <f>VLOOKUP(B155,'País - Continente'!A:B,2,FALSE)</f>
        <v>África</v>
      </c>
      <c r="B155" s="1" t="s">
        <v>153</v>
      </c>
      <c r="C155" s="4">
        <v>0.51200000000000001</v>
      </c>
      <c r="D155" s="4">
        <v>5.5</v>
      </c>
      <c r="E155" s="5">
        <v>1600</v>
      </c>
    </row>
    <row r="156" spans="1:5">
      <c r="A156" s="1" t="str">
        <f>VLOOKUP(B156,'País - Continente'!A:B,2,FALSE)</f>
        <v>África</v>
      </c>
      <c r="B156" s="1" t="s">
        <v>194</v>
      </c>
      <c r="C156" s="4">
        <v>0.58399999999999996</v>
      </c>
      <c r="D156" s="4">
        <v>6.5</v>
      </c>
      <c r="E156" s="5">
        <v>1600</v>
      </c>
    </row>
    <row r="157" spans="1:5">
      <c r="A157" s="1" t="str">
        <f>VLOOKUP(B157,'País - Continente'!A:B,2,FALSE)</f>
        <v>África</v>
      </c>
      <c r="B157" s="1" t="s">
        <v>33</v>
      </c>
      <c r="C157" s="4">
        <v>0.56299999999999994</v>
      </c>
      <c r="D157" s="4">
        <v>6</v>
      </c>
      <c r="E157" s="5">
        <v>1500</v>
      </c>
    </row>
    <row r="158" spans="1:5">
      <c r="A158" s="1" t="str">
        <f>VLOOKUP(B158,'País - Continente'!A:B,2,FALSE)</f>
        <v>África</v>
      </c>
      <c r="B158" s="1" t="s">
        <v>99</v>
      </c>
      <c r="C158" s="4">
        <v>0.51300000000000001</v>
      </c>
      <c r="D158" s="4">
        <v>6</v>
      </c>
      <c r="E158" s="5">
        <v>1500</v>
      </c>
    </row>
    <row r="159" spans="1:5">
      <c r="A159" s="1" t="str">
        <f>VLOOKUP(B159,'País - Continente'!A:B,2,FALSE)</f>
        <v>África</v>
      </c>
      <c r="B159" s="1" t="s">
        <v>112</v>
      </c>
      <c r="C159" s="4">
        <v>0.51800000000000002</v>
      </c>
      <c r="D159" s="4">
        <v>5.5</v>
      </c>
      <c r="E159" s="5">
        <v>1500</v>
      </c>
    </row>
    <row r="160" spans="1:5">
      <c r="A160" s="1" t="str">
        <f>VLOOKUP(B160,'País - Continente'!A:B,2,FALSE)</f>
        <v>Ásia</v>
      </c>
      <c r="B160" s="1" t="s">
        <v>133</v>
      </c>
      <c r="C160" s="4">
        <v>0.55700000000000005</v>
      </c>
      <c r="D160" s="4">
        <v>5.5</v>
      </c>
      <c r="E160" s="5">
        <v>1500</v>
      </c>
    </row>
    <row r="161" spans="1:5">
      <c r="A161" s="1" t="str">
        <f>VLOOKUP(B161,'País - Continente'!A:B,2,FALSE)</f>
        <v>África</v>
      </c>
      <c r="B161" s="1" t="s">
        <v>166</v>
      </c>
      <c r="C161" s="4">
        <v>0.51</v>
      </c>
      <c r="D161" s="4">
        <v>5</v>
      </c>
      <c r="E161" s="5">
        <v>1500</v>
      </c>
    </row>
    <row r="162" spans="1:5">
      <c r="A162" s="1" t="str">
        <f>VLOOKUP(B162,'País - Continente'!A:B,2,FALSE)</f>
        <v>África</v>
      </c>
      <c r="B162" s="1" t="s">
        <v>22</v>
      </c>
      <c r="C162" s="4">
        <v>0.54500000000000004</v>
      </c>
      <c r="D162" s="4">
        <v>4.5</v>
      </c>
      <c r="E162" s="5">
        <v>1200</v>
      </c>
    </row>
    <row r="163" spans="1:5">
      <c r="A163" s="1" t="str">
        <f>VLOOKUP(B163,'País - Continente'!A:B,2,FALSE)</f>
        <v>África</v>
      </c>
      <c r="B163" s="1" t="s">
        <v>40</v>
      </c>
      <c r="C163" s="4">
        <v>0.53800000000000003</v>
      </c>
      <c r="D163" s="4">
        <v>5</v>
      </c>
      <c r="E163" s="5">
        <v>1200</v>
      </c>
    </row>
    <row r="164" spans="1:5">
      <c r="A164" s="1" t="str">
        <f>VLOOKUP(B164,'País - Continente'!A:B,2,FALSE)</f>
        <v>Ásia</v>
      </c>
      <c r="B164" s="1" t="s">
        <v>95</v>
      </c>
      <c r="C164" s="4">
        <v>0.69699999999999995</v>
      </c>
      <c r="D164" s="4">
        <v>9</v>
      </c>
      <c r="E164" s="5">
        <v>1200</v>
      </c>
    </row>
    <row r="165" spans="1:5">
      <c r="A165" s="1" t="str">
        <f>VLOOKUP(B165,'País - Continente'!A:B,2,FALSE)</f>
        <v>Ásia</v>
      </c>
      <c r="B165" s="1" t="s">
        <v>122</v>
      </c>
      <c r="C165" s="4">
        <v>0.58299999999999996</v>
      </c>
      <c r="D165" s="4">
        <v>5.5</v>
      </c>
      <c r="E165" s="5">
        <v>1200</v>
      </c>
    </row>
    <row r="166" spans="1:5">
      <c r="A166" s="1" t="str">
        <f>VLOOKUP(B166,'País - Continente'!A:B,2,FALSE)</f>
        <v>Ásia</v>
      </c>
      <c r="B166" s="1" t="s">
        <v>125</v>
      </c>
      <c r="C166" s="4">
        <v>0.60199999999999998</v>
      </c>
      <c r="D166" s="4">
        <v>6</v>
      </c>
      <c r="E166" s="5">
        <v>1200</v>
      </c>
    </row>
    <row r="167" spans="1:5">
      <c r="A167" s="1" t="str">
        <f>VLOOKUP(B167,'País - Continente'!A:B,2,FALSE)</f>
        <v>Ásia</v>
      </c>
      <c r="B167" s="1" t="s">
        <v>172</v>
      </c>
      <c r="C167" s="4">
        <v>0.66100000000000003</v>
      </c>
      <c r="D167" s="4">
        <v>8</v>
      </c>
      <c r="E167" s="5">
        <v>1200</v>
      </c>
    </row>
    <row r="168" spans="1:5">
      <c r="A168" s="1" t="str">
        <f>VLOOKUP(B168,'País - Continente'!A:B,2,FALSE)</f>
        <v>África</v>
      </c>
      <c r="B168" s="1" t="s">
        <v>173</v>
      </c>
      <c r="C168" s="4">
        <v>0.53800000000000003</v>
      </c>
      <c r="D168" s="4">
        <v>6</v>
      </c>
      <c r="E168" s="5">
        <v>1100</v>
      </c>
    </row>
    <row r="169" spans="1:5">
      <c r="A169" s="1" t="str">
        <f>VLOOKUP(B169,'País - Continente'!A:B,2,FALSE)</f>
        <v>Ásia</v>
      </c>
      <c r="B169" s="1" t="s">
        <v>193</v>
      </c>
      <c r="C169" s="4">
        <v>0.47</v>
      </c>
      <c r="D169" s="4">
        <v>4.5</v>
      </c>
      <c r="E169" s="5">
        <v>1000</v>
      </c>
    </row>
    <row r="170" spans="1:5">
      <c r="A170" s="1" t="str">
        <f>VLOOKUP(B170,'País - Continente'!A:B,2,FALSE)</f>
        <v>África</v>
      </c>
      <c r="B170" s="1" t="s">
        <v>72</v>
      </c>
      <c r="C170" s="4">
        <v>0.46600000000000003</v>
      </c>
      <c r="D170" s="4">
        <v>3.5</v>
      </c>
      <c r="E170" s="4">
        <v>900</v>
      </c>
    </row>
    <row r="171" spans="1:5">
      <c r="A171" s="1" t="str">
        <f>VLOOKUP(B171,'País - Continente'!A:B,2,FALSE)</f>
        <v>África</v>
      </c>
      <c r="B171" s="1" t="s">
        <v>109</v>
      </c>
      <c r="C171" s="4">
        <v>0.42699999999999999</v>
      </c>
      <c r="D171" s="4">
        <v>3.5</v>
      </c>
      <c r="E171" s="4">
        <v>900</v>
      </c>
    </row>
    <row r="172" spans="1:5">
      <c r="A172" s="1" t="str">
        <f>VLOOKUP(B172,'País - Continente'!A:B,2,FALSE)</f>
        <v>África</v>
      </c>
      <c r="B172" s="1" t="s">
        <v>182</v>
      </c>
      <c r="C172" s="4">
        <v>0.54300000000000004</v>
      </c>
      <c r="D172" s="4">
        <v>5.5</v>
      </c>
      <c r="E172" s="4">
        <v>900</v>
      </c>
    </row>
    <row r="173" spans="1:5">
      <c r="A173" s="1" t="str">
        <f>VLOOKUP(B173,'País - Continente'!A:B,2,FALSE)</f>
        <v>África</v>
      </c>
      <c r="B173" s="1" t="s">
        <v>30</v>
      </c>
      <c r="C173" s="4">
        <v>0.45200000000000001</v>
      </c>
      <c r="D173" s="4">
        <v>3.5</v>
      </c>
      <c r="E173" s="4">
        <v>800</v>
      </c>
    </row>
    <row r="174" spans="1:5">
      <c r="A174" s="1" t="str">
        <f>VLOOKUP(B174,'País - Continente'!A:B,2,FALSE)</f>
        <v>África</v>
      </c>
      <c r="B174" s="1" t="s">
        <v>60</v>
      </c>
      <c r="C174" s="4">
        <v>0.48299999999999998</v>
      </c>
      <c r="D174" s="4">
        <v>4.5</v>
      </c>
      <c r="E174" s="4">
        <v>800</v>
      </c>
    </row>
    <row r="175" spans="1:5">
      <c r="A175" s="1" t="str">
        <f>VLOOKUP(B175,'País - Continente'!A:B,2,FALSE)</f>
        <v>África</v>
      </c>
      <c r="B175" s="1" t="s">
        <v>65</v>
      </c>
      <c r="C175" s="4">
        <v>0.48199999999999998</v>
      </c>
      <c r="D175" s="4">
        <v>4.5</v>
      </c>
      <c r="E175" s="4">
        <v>800</v>
      </c>
    </row>
    <row r="176" spans="1:5">
      <c r="A176" s="1" t="str">
        <f>VLOOKUP(B176,'País - Continente'!A:B,2,FALSE)</f>
        <v>América</v>
      </c>
      <c r="B176" s="1" t="s">
        <v>75</v>
      </c>
      <c r="C176" s="4">
        <v>0.51</v>
      </c>
      <c r="D176" s="4">
        <v>3.5</v>
      </c>
      <c r="E176" s="4">
        <v>800</v>
      </c>
    </row>
    <row r="177" spans="1:5">
      <c r="A177" s="1" t="str">
        <f>VLOOKUP(B177,'País - Continente'!A:B,2,FALSE)</f>
        <v>África</v>
      </c>
      <c r="B177" s="1" t="s">
        <v>36</v>
      </c>
      <c r="C177" s="4">
        <v>0.40100000000000002</v>
      </c>
      <c r="D177" s="4">
        <v>3</v>
      </c>
      <c r="E177" s="4">
        <v>700</v>
      </c>
    </row>
    <row r="178" spans="1:5">
      <c r="A178" s="1" t="str">
        <f>VLOOKUP(B178,'País - Continente'!A:B,2,FALSE)</f>
        <v>África</v>
      </c>
      <c r="B178" s="1" t="s">
        <v>57</v>
      </c>
      <c r="C178" s="4">
        <v>0.45200000000000001</v>
      </c>
      <c r="D178" s="4">
        <v>4</v>
      </c>
      <c r="E178" s="4">
        <v>700</v>
      </c>
    </row>
    <row r="179" spans="1:5">
      <c r="A179" s="1" t="str">
        <f>VLOOKUP(B179,'País - Continente'!A:B,2,FALSE)</f>
        <v>África</v>
      </c>
      <c r="B179" s="1" t="s">
        <v>73</v>
      </c>
      <c r="C179" s="4">
        <v>0.48</v>
      </c>
      <c r="D179" s="4">
        <v>3</v>
      </c>
      <c r="E179" s="4">
        <v>700</v>
      </c>
    </row>
    <row r="180" spans="1:5">
      <c r="A180" s="1" t="str">
        <f>VLOOKUP(B180,'País - Continente'!A:B,2,FALSE)</f>
        <v>África</v>
      </c>
      <c r="B180" s="1" t="s">
        <v>100</v>
      </c>
      <c r="C180" s="4">
        <v>0.48</v>
      </c>
      <c r="D180" s="4">
        <v>4</v>
      </c>
      <c r="E180" s="4">
        <v>700</v>
      </c>
    </row>
    <row r="181" spans="1:5">
      <c r="A181" s="1" t="str">
        <f>VLOOKUP(B181,'País - Continente'!A:B,2,FALSE)</f>
        <v>África</v>
      </c>
      <c r="B181" s="1" t="s">
        <v>175</v>
      </c>
      <c r="C181" s="4">
        <v>0.51300000000000001</v>
      </c>
      <c r="D181" s="4">
        <v>4.5</v>
      </c>
      <c r="E181" s="4">
        <v>700</v>
      </c>
    </row>
    <row r="182" spans="1:5">
      <c r="A182" s="1" t="str">
        <f>VLOOKUP(B182,'País - Continente'!A:B,2,FALSE)</f>
        <v>Ásia</v>
      </c>
      <c r="B182" s="1" t="s">
        <v>4</v>
      </c>
      <c r="C182" s="4">
        <v>0.51</v>
      </c>
      <c r="D182" s="4">
        <v>5</v>
      </c>
      <c r="E182" s="4">
        <v>600</v>
      </c>
    </row>
    <row r="183" spans="1:5">
      <c r="A183" s="1" t="str">
        <f>VLOOKUP(B183,'País - Continente'!A:B,2,FALSE)</f>
        <v>África</v>
      </c>
      <c r="B183" s="1" t="s">
        <v>156</v>
      </c>
      <c r="C183" s="4">
        <v>0.45200000000000001</v>
      </c>
      <c r="D183" s="4">
        <v>4</v>
      </c>
      <c r="E183" s="4">
        <v>600</v>
      </c>
    </row>
    <row r="184" spans="1:5">
      <c r="A184" s="1" t="str">
        <f>VLOOKUP(B184,'País - Continente'!A:B,2,FALSE)</f>
        <v>África</v>
      </c>
      <c r="B184" s="1" t="s">
        <v>42</v>
      </c>
      <c r="C184" s="4">
        <v>0.57399999999999995</v>
      </c>
      <c r="D184" s="4">
        <v>4</v>
      </c>
      <c r="E184" s="4">
        <v>500</v>
      </c>
    </row>
    <row r="185" spans="1:5">
      <c r="A185" s="1" t="str">
        <f>VLOOKUP(B185,'País - Continente'!A:B,2,FALSE)</f>
        <v>África</v>
      </c>
      <c r="B185" s="1" t="s">
        <v>105</v>
      </c>
      <c r="C185" s="4">
        <v>0.51900000000000002</v>
      </c>
      <c r="D185" s="4">
        <v>4.5</v>
      </c>
      <c r="E185" s="4">
        <v>500</v>
      </c>
    </row>
    <row r="186" spans="1:5">
      <c r="A186" s="1" t="str">
        <f>VLOOKUP(B186,'País - Continente'!A:B,2,FALSE)</f>
        <v>África</v>
      </c>
      <c r="B186" s="1" t="s">
        <v>121</v>
      </c>
      <c r="C186" s="4">
        <v>0.45600000000000002</v>
      </c>
      <c r="D186" s="4">
        <v>3.5</v>
      </c>
      <c r="E186" s="4">
        <v>500</v>
      </c>
    </row>
    <row r="187" spans="1:5">
      <c r="A187" s="1" t="str">
        <f>VLOOKUP(B187,'País - Continente'!A:B,2,FALSE)</f>
        <v>África</v>
      </c>
      <c r="B187" s="1" t="s">
        <v>35</v>
      </c>
      <c r="C187" s="4">
        <v>0.39700000000000002</v>
      </c>
      <c r="D187" s="4">
        <v>2.5</v>
      </c>
      <c r="E187" s="4">
        <v>400</v>
      </c>
    </row>
    <row r="188" spans="1:5">
      <c r="A188" s="1" t="str">
        <f>VLOOKUP(B188,'País - Continente'!A:B,2,FALSE)</f>
        <v>África</v>
      </c>
      <c r="B188" s="1" t="s">
        <v>106</v>
      </c>
      <c r="C188" s="4">
        <v>0.48299999999999998</v>
      </c>
      <c r="D188" s="4">
        <v>4</v>
      </c>
      <c r="E188" s="4">
        <v>400</v>
      </c>
    </row>
    <row r="189" spans="1:5">
      <c r="A189" s="1" t="str">
        <f>VLOOKUP(B189,'País - Continente'!A:B,2,FALSE)</f>
        <v>África</v>
      </c>
      <c r="B189" s="1" t="s">
        <v>129</v>
      </c>
      <c r="C189" s="4">
        <v>0.39400000000000002</v>
      </c>
      <c r="D189" s="4">
        <v>2.5</v>
      </c>
      <c r="E189" s="4">
        <v>400</v>
      </c>
    </row>
    <row r="190" spans="1:5">
      <c r="A190" s="1" t="str">
        <f>VLOOKUP(B190,'País - Continente'!A:B,2,FALSE)</f>
        <v>África</v>
      </c>
      <c r="B190" s="1" t="s">
        <v>31</v>
      </c>
      <c r="C190" s="4">
        <v>0.433</v>
      </c>
      <c r="D190" s="4">
        <v>2.5</v>
      </c>
      <c r="E190" s="4">
        <v>300</v>
      </c>
    </row>
    <row r="191" spans="1:5">
      <c r="A191" s="1" t="str">
        <f>VLOOKUP(B191,'País - Continente'!A:B,2,FALSE)</f>
        <v>África</v>
      </c>
      <c r="B191" s="1" t="s">
        <v>161</v>
      </c>
      <c r="C191" s="4">
        <v>0.28499999999999998</v>
      </c>
      <c r="D191" s="4">
        <v>2</v>
      </c>
      <c r="E191" s="4">
        <v>300</v>
      </c>
    </row>
    <row r="192" spans="1:5">
      <c r="A192" s="1" t="str">
        <f>VLOOKUP(B192,'País - Continente'!A:B,2,FALSE)</f>
        <v>África</v>
      </c>
      <c r="B192" s="1" t="s">
        <v>163</v>
      </c>
      <c r="C192" s="4">
        <v>0.41299999999999998</v>
      </c>
      <c r="D192" s="4">
        <v>3</v>
      </c>
      <c r="E192" s="4">
        <v>300</v>
      </c>
    </row>
    <row r="193" spans="1:5">
      <c r="A193" s="1" t="str">
        <f>VLOOKUP(B193,'País - Continente'!A:B,2,FALSE)</f>
        <v>Europa</v>
      </c>
      <c r="B193" s="1" t="s">
        <v>190</v>
      </c>
      <c r="C193" s="4">
        <v>0.95</v>
      </c>
      <c r="D193" s="4">
        <v>12</v>
      </c>
      <c r="E193" s="4">
        <v>0</v>
      </c>
    </row>
  </sheetData>
  <sortState xmlns:xlrd2="http://schemas.microsoft.com/office/spreadsheetml/2017/richdata2" ref="G11:I15">
    <sortCondition descending="1" ref="I11:I1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2025-11-03T19:22:40Z</dcterms:created>
  <dcterms:modified xsi:type="dcterms:W3CDTF">2025-11-03T21:20:42Z</dcterms:modified>
  <cp:category/>
  <cp:contentStatus/>
</cp:coreProperties>
</file>